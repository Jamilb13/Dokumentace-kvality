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_Inbox\PDF\P77 Dokumentace kvality\"/>
    </mc:Choice>
  </mc:AlternateContent>
  <xr:revisionPtr revIDLastSave="0" documentId="8_{84E9B9CB-E317-4A5B-9FAF-E07EBC301D40}" xr6:coauthVersionLast="47" xr6:coauthVersionMax="47" xr10:uidLastSave="{00000000-0000-0000-0000-000000000000}"/>
  <bookViews>
    <workbookView xWindow="28680" yWindow="-120" windowWidth="38640" windowHeight="21840" activeTab="4" xr2:uid="{DE449767-E405-4266-9096-A66264FA0E8C}"/>
  </bookViews>
  <sheets>
    <sheet name="Seznam" sheetId="1" r:id="rId1"/>
    <sheet name="AUTEL" sheetId="4" r:id="rId2"/>
    <sheet name="Help" sheetId="3" r:id="rId3"/>
    <sheet name="Zmeny" sheetId="9" r:id="rId4"/>
    <sheet name="Obsah" sheetId="2" r:id="rId5"/>
    <sheet name="Obsah_QC1" sheetId="10" r:id="rId6"/>
    <sheet name="Obsah_QC1_SP" sheetId="12" r:id="rId7"/>
  </sheets>
  <functionGroups builtInGroupCount="19"/>
  <definedNames>
    <definedName name="_xlnm._FilterDatabase" localSheetId="5" hidden="1">Obsah_QC1!$B$1:$F$202</definedName>
    <definedName name="_xlnm._FilterDatabase" localSheetId="0" hidden="1">Seznam!$A$1:$O$268</definedName>
    <definedName name="Cíl">AUTEL!$B$3</definedName>
    <definedName name="_xlnm.Print_Titles" localSheetId="5">Obsah_QC1!$1:$1</definedName>
    <definedName name="_xlnm.Print_Titles" localSheetId="6">Obsah_QC1_SP!$1:$1</definedName>
    <definedName name="_xlnm.Print_Area" localSheetId="5">Obsah_QC1!$B$1:$E$206</definedName>
    <definedName name="_xlnm.Print_Area" localSheetId="6">Obsah_QC1_SP!$B$1:$E$23</definedName>
    <definedName name="Zdroj">AUTEL!$B$2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2" i="1"/>
  <c r="K7" i="12"/>
  <c r="K6" i="12"/>
  <c r="K3" i="12"/>
  <c r="K27" i="10"/>
  <c r="K26" i="10"/>
  <c r="K7" i="10"/>
  <c r="K6" i="10"/>
  <c r="K3" i="10"/>
  <c r="H268" i="1" a="1"/>
  <c r="H200" i="1" a="1"/>
  <c r="H225" i="1" a="1"/>
  <c r="H202" i="1" a="1"/>
  <c r="H218" i="1" a="1"/>
  <c r="H259" i="1" a="1"/>
  <c r="H207" i="1" a="1"/>
  <c r="H260" i="1" a="1"/>
  <c r="H264" i="1" a="1"/>
  <c r="H204" i="1" a="1"/>
  <c r="H205" i="1" a="1"/>
  <c r="H233" i="1" a="1"/>
  <c r="H210" i="1" a="1"/>
  <c r="H226" i="1" a="1"/>
  <c r="H203" i="1" a="1"/>
  <c r="H267" i="1" a="1"/>
  <c r="H215" i="1" a="1"/>
  <c r="H228" i="1" a="1"/>
  <c r="H265" i="1" a="1"/>
  <c r="H255" i="1" a="1"/>
  <c r="H208" i="1" a="1"/>
  <c r="H213" i="1" a="1"/>
  <c r="H241" i="1" a="1"/>
  <c r="H222" i="1" a="1"/>
  <c r="H234" i="1" a="1"/>
  <c r="H211" i="1" a="1"/>
  <c r="H223" i="1" a="1"/>
  <c r="H244" i="1" a="1"/>
  <c r="H240" i="1" a="1"/>
  <c r="H243" i="1" a="1"/>
  <c r="H212" i="1" a="1"/>
  <c r="H221" i="1" a="1"/>
  <c r="H249" i="1" a="1"/>
  <c r="H230" i="1" a="1"/>
  <c r="H242" i="1" a="1"/>
  <c r="H219" i="1" a="1"/>
  <c r="H231" i="1" a="1"/>
  <c r="H252" i="1" a="1"/>
  <c r="H256" i="1" a="1"/>
  <c r="H245" i="1" a="1"/>
  <c r="H254" i="1" a="1"/>
  <c r="H216" i="1" a="1"/>
  <c r="H229" i="1" a="1"/>
  <c r="H253" i="1" a="1"/>
  <c r="H238" i="1" a="1"/>
  <c r="H250" i="1" a="1"/>
  <c r="H227" i="1" a="1"/>
  <c r="H239" i="1" a="1"/>
  <c r="H261" i="1" a="1"/>
  <c r="H224" i="1" a="1"/>
  <c r="H220" i="1" a="1"/>
  <c r="H237" i="1" a="1"/>
  <c r="H201" i="1" a="1"/>
  <c r="H257" i="1" a="1"/>
  <c r="H246" i="1" a="1"/>
  <c r="H258" i="1" a="1"/>
  <c r="H235" i="1" a="1"/>
  <c r="H247" i="1" a="1"/>
  <c r="H236" i="1" a="1"/>
  <c r="H209" i="1" a="1"/>
  <c r="H206" i="1" a="1"/>
  <c r="H217" i="1" a="1"/>
  <c r="H266" i="1" a="1"/>
  <c r="H214" i="1" a="1"/>
  <c r="H251" i="1" a="1"/>
  <c r="H263" i="1" a="1"/>
  <c r="H248" i="1" a="1"/>
  <c r="H262" i="1" a="1"/>
  <c r="H232" i="1" a="1"/>
  <c r="H107" i="1" a="1"/>
  <c r="H109" i="1" a="1"/>
  <c r="H125" i="1" a="1"/>
  <c r="H49" i="1" a="1"/>
  <c r="H167" i="1" a="1"/>
  <c r="H51" i="1" a="1"/>
  <c r="H102" i="1" a="1"/>
  <c r="H85" i="1" a="1"/>
  <c r="H29" i="1" a="1"/>
  <c r="H142" i="1" a="1"/>
  <c r="H31" i="1" a="1"/>
  <c r="H83" i="1" a="1"/>
  <c r="H195" i="1" a="1"/>
  <c r="H55" i="1" a="1"/>
  <c r="H192" i="1" a="1"/>
  <c r="H172" i="1" a="1"/>
  <c r="H156" i="1" a="1"/>
  <c r="H30" i="1" a="1"/>
  <c r="H65" i="1" a="1"/>
  <c r="H147" i="1" a="1"/>
  <c r="H33" i="1" a="1"/>
  <c r="H134" i="1" a="1"/>
  <c r="H63" i="1" a="1"/>
  <c r="H103" i="1" a="1"/>
  <c r="H40" i="1" a="1"/>
  <c r="H161" i="1" a="1"/>
  <c r="H122" i="1" a="1"/>
  <c r="H131" i="1" a="1"/>
  <c r="H152" i="1" a="1"/>
  <c r="H66" i="1" a="1"/>
  <c r="H123" i="1" a="1"/>
  <c r="H148" i="1" a="1"/>
  <c r="H128" i="1" a="1"/>
  <c r="H67" i="1" a="1"/>
  <c r="H26" i="1" a="1"/>
  <c r="H177" i="1" a="1"/>
  <c r="H89" i="1" a="1"/>
  <c r="H187" i="1" a="1"/>
  <c r="H115" i="1" a="1"/>
  <c r="H81" i="1" a="1"/>
  <c r="H194" i="1" a="1"/>
  <c r="H42" i="1" a="1"/>
  <c r="H108" i="1" a="1"/>
  <c r="H140" i="1" a="1"/>
  <c r="H68" i="1" a="1"/>
  <c r="H34" i="1" a="1"/>
  <c r="H173" i="1" a="1"/>
  <c r="H53" i="1" a="1"/>
  <c r="H127" i="1" a="1"/>
  <c r="H96" i="1" a="1"/>
  <c r="H185" i="1" a="1"/>
  <c r="H196" i="1" a="1"/>
  <c r="H163" i="1" a="1"/>
  <c r="H69" i="1" a="1"/>
  <c r="H101" i="1" a="1"/>
  <c r="H116" i="1" a="1"/>
  <c r="H72" i="1" a="1"/>
  <c r="H94" i="1" a="1"/>
  <c r="H165" i="1" a="1"/>
  <c r="H132" i="1" a="1"/>
  <c r="H138" i="1" a="1"/>
  <c r="H56" i="1" a="1"/>
  <c r="H160" i="1" a="1"/>
  <c r="H175" i="1" a="1"/>
  <c r="H176" i="1" a="1"/>
  <c r="H38" i="1" a="1"/>
  <c r="H77" i="1" a="1"/>
  <c r="H97" i="1" a="1"/>
  <c r="H171" i="1" a="1"/>
  <c r="H36" i="1" a="1"/>
  <c r="H189" i="1" a="1"/>
  <c r="H93" i="1" a="1"/>
  <c r="H155" i="1" a="1"/>
  <c r="H110" i="1" a="1"/>
  <c r="H178" i="1" a="1"/>
  <c r="H129" i="1" a="1"/>
  <c r="H105" i="1" a="1"/>
  <c r="H188" i="1" a="1"/>
  <c r="H144" i="1" a="1"/>
  <c r="H61" i="1" a="1"/>
  <c r="H126" i="1" a="1"/>
  <c r="H120" i="1" a="1"/>
  <c r="H39" i="1" a="1"/>
  <c r="H54" i="1" a="1"/>
  <c r="H164" i="1" a="1"/>
  <c r="H76" i="1" a="1"/>
  <c r="H154" i="1" a="1"/>
  <c r="H73" i="1" a="1"/>
  <c r="H47" i="1" a="1"/>
  <c r="H106" i="1" a="1"/>
  <c r="H70" i="1" a="1"/>
  <c r="H27" i="1" a="1"/>
  <c r="H199" i="1" a="1"/>
  <c r="H157" i="1" a="1"/>
  <c r="H99" i="1" a="1"/>
  <c r="H180" i="1" a="1"/>
  <c r="H135" i="1" a="1"/>
  <c r="H133" i="1" a="1"/>
  <c r="H46" i="1" a="1"/>
  <c r="H44" i="1" a="1"/>
  <c r="H43" i="1" a="1"/>
  <c r="H104" i="1" a="1"/>
  <c r="H197" i="1" a="1"/>
  <c r="H119" i="1" a="1"/>
  <c r="H168" i="1" a="1"/>
  <c r="H111" i="1" a="1"/>
  <c r="H60" i="1" a="1"/>
  <c r="H193" i="1" a="1"/>
  <c r="H113" i="1" a="1"/>
  <c r="H181" i="1" a="1"/>
  <c r="H82" i="1" a="1"/>
  <c r="H158" i="1" a="1"/>
  <c r="H191" i="1" a="1"/>
  <c r="H186" i="1" a="1"/>
  <c r="H57" i="1" a="1"/>
  <c r="H92" i="1" a="1"/>
  <c r="H151" i="1" a="1"/>
  <c r="H100" i="1" a="1"/>
  <c r="H112" i="1" a="1"/>
  <c r="H130" i="1" a="1"/>
  <c r="H118" i="1" a="1"/>
  <c r="H124" i="1" a="1"/>
  <c r="H86" i="1" a="1"/>
  <c r="H80" i="1" a="1"/>
  <c r="H98" i="1" a="1"/>
  <c r="H169" i="1" a="1"/>
  <c r="H64" i="1" a="1"/>
  <c r="H139" i="1" a="1"/>
  <c r="H143" i="1" a="1"/>
  <c r="H71" i="1" a="1"/>
  <c r="H21" i="1" a="1"/>
  <c r="H121" i="1" a="1"/>
  <c r="H59" i="1" a="1"/>
  <c r="H179" i="1" a="1"/>
  <c r="H198" i="1" a="1"/>
  <c r="H50" i="1" a="1"/>
  <c r="H149" i="1" a="1"/>
  <c r="H35" i="1" a="1"/>
  <c r="H91" i="1" a="1"/>
  <c r="H153" i="1" a="1"/>
  <c r="H75" i="1" a="1"/>
  <c r="H28" i="1" a="1"/>
  <c r="H48" i="1" a="1"/>
  <c r="H79" i="1" a="1"/>
  <c r="H150" i="1" a="1"/>
  <c r="H58" i="1" a="1"/>
  <c r="H141" i="1" a="1"/>
  <c r="H159" i="1" a="1"/>
  <c r="H190" i="1" a="1"/>
  <c r="H32" i="1" a="1"/>
  <c r="H145" i="1" a="1"/>
  <c r="H136" i="1" a="1"/>
  <c r="H88" i="1" a="1"/>
  <c r="H23" i="1" a="1"/>
  <c r="H25" i="1" a="1"/>
  <c r="H146" i="1" a="1"/>
  <c r="H170" i="1" a="1"/>
  <c r="H90" i="1" a="1"/>
  <c r="H182" i="1" a="1"/>
  <c r="H22" i="1" a="1"/>
  <c r="H114" i="1" a="1"/>
  <c r="H166" i="1" a="1"/>
  <c r="H183" i="1" a="1"/>
  <c r="H87" i="1" a="1"/>
  <c r="H62" i="1" a="1"/>
  <c r="H45" i="1" a="1"/>
  <c r="H162" i="1" a="1"/>
  <c r="H52" i="1" a="1"/>
  <c r="H74" i="1" a="1"/>
  <c r="H95" i="1" a="1"/>
  <c r="H78" i="1" a="1"/>
  <c r="H137" i="1" a="1"/>
  <c r="H37" i="1" a="1"/>
  <c r="H174" i="1" a="1"/>
  <c r="H41" i="1" a="1"/>
  <c r="H84" i="1" a="1"/>
  <c r="H117" i="1" a="1"/>
  <c r="H24" i="1" a="1"/>
  <c r="H184" i="1" a="1"/>
  <c r="H11" i="1" a="1"/>
  <c r="H7" i="1" a="1"/>
  <c r="H19" i="1" a="1"/>
  <c r="H3" i="1" a="1"/>
  <c r="H15" i="1" a="1"/>
  <c r="H16" i="1" a="1"/>
  <c r="H14" i="1" a="1"/>
  <c r="H8" i="1" a="1"/>
  <c r="H12" i="1" a="1"/>
  <c r="H10" i="1" a="1"/>
  <c r="H4" i="1" a="1"/>
  <c r="H20" i="1" a="1"/>
  <c r="H13" i="1" a="1"/>
  <c r="H17" i="1" a="1"/>
  <c r="H9" i="1" a="1"/>
  <c r="H18" i="1" a="1"/>
  <c r="H5" i="1" a="1"/>
  <c r="H6" i="1" a="1"/>
  <c r="H2" i="1" a="1"/>
  <c r="H6" i="1" l="1"/>
  <c r="H5" i="1"/>
  <c r="H18" i="1"/>
  <c r="H9" i="1"/>
  <c r="H17" i="1"/>
  <c r="H13" i="1"/>
  <c r="H20" i="1"/>
  <c r="H4" i="1"/>
  <c r="H10" i="1"/>
  <c r="H12" i="1"/>
  <c r="H8" i="1"/>
  <c r="H14" i="1"/>
  <c r="H16" i="1"/>
  <c r="H15" i="1"/>
  <c r="H3" i="1"/>
  <c r="H19" i="1"/>
  <c r="H7" i="1"/>
  <c r="H11" i="1"/>
  <c r="H2" i="1"/>
  <c r="M2" i="1"/>
  <c r="N2" i="1" s="1"/>
  <c r="N3" i="1"/>
  <c r="H188" i="1"/>
  <c r="H268" i="1"/>
  <c r="H256" i="1"/>
  <c r="H240" i="1"/>
  <c r="H265" i="1"/>
  <c r="H264" i="1"/>
  <c r="H248" i="1"/>
  <c r="H232" i="1"/>
  <c r="H236" i="1"/>
  <c r="H261" i="1"/>
  <c r="H252" i="1"/>
  <c r="H244" i="1"/>
  <c r="H228" i="1"/>
  <c r="H260" i="1"/>
  <c r="H263" i="1"/>
  <c r="H255" i="1"/>
  <c r="H247" i="1"/>
  <c r="H239" i="1"/>
  <c r="H231" i="1"/>
  <c r="H223" i="1"/>
  <c r="H215" i="1"/>
  <c r="H207" i="1"/>
  <c r="H199" i="1"/>
  <c r="H191" i="1"/>
  <c r="H183" i="1"/>
  <c r="H179" i="1"/>
  <c r="H175" i="1"/>
  <c r="H171" i="1"/>
  <c r="H267" i="1"/>
  <c r="H259" i="1"/>
  <c r="H251" i="1"/>
  <c r="H243" i="1"/>
  <c r="H235" i="1"/>
  <c r="H227" i="1"/>
  <c r="H219" i="1"/>
  <c r="H211" i="1"/>
  <c r="H203" i="1"/>
  <c r="H195" i="1"/>
  <c r="H187" i="1"/>
  <c r="H262" i="1"/>
  <c r="H258" i="1"/>
  <c r="H250" i="1"/>
  <c r="H242" i="1"/>
  <c r="H234" i="1"/>
  <c r="H226" i="1"/>
  <c r="H218" i="1"/>
  <c r="H214" i="1"/>
  <c r="H206" i="1"/>
  <c r="H198" i="1"/>
  <c r="H190" i="1"/>
  <c r="H186" i="1"/>
  <c r="H178" i="1"/>
  <c r="H174" i="1"/>
  <c r="H170" i="1"/>
  <c r="H266" i="1"/>
  <c r="H254" i="1"/>
  <c r="H246" i="1"/>
  <c r="H238" i="1"/>
  <c r="H230" i="1"/>
  <c r="H222" i="1"/>
  <c r="H210" i="1"/>
  <c r="H202" i="1"/>
  <c r="H194" i="1"/>
  <c r="H182" i="1"/>
  <c r="H257" i="1"/>
  <c r="H253" i="1"/>
  <c r="H249" i="1"/>
  <c r="H241" i="1"/>
  <c r="H233" i="1"/>
  <c r="H225" i="1"/>
  <c r="H217" i="1"/>
  <c r="H209" i="1"/>
  <c r="H201" i="1"/>
  <c r="H193" i="1"/>
  <c r="H185" i="1"/>
  <c r="H181" i="1"/>
  <c r="H177" i="1"/>
  <c r="H173" i="1"/>
  <c r="H169" i="1"/>
  <c r="H245" i="1"/>
  <c r="H237" i="1"/>
  <c r="H229" i="1"/>
  <c r="H221" i="1"/>
  <c r="H213" i="1"/>
  <c r="H205" i="1"/>
  <c r="H197" i="1"/>
  <c r="H189" i="1"/>
  <c r="H224" i="1"/>
  <c r="H220" i="1"/>
  <c r="H216" i="1"/>
  <c r="H212" i="1"/>
  <c r="H208" i="1"/>
  <c r="H204" i="1"/>
  <c r="H200" i="1"/>
  <c r="H196" i="1"/>
  <c r="H192" i="1"/>
  <c r="H184" i="1"/>
  <c r="H180" i="1"/>
  <c r="H176" i="1"/>
  <c r="H172" i="1"/>
  <c r="H168" i="1"/>
  <c r="H162" i="1"/>
  <c r="H167" i="1"/>
  <c r="H166" i="1"/>
  <c r="H165" i="1"/>
  <c r="H164" i="1"/>
  <c r="H163" i="1"/>
  <c r="H161" i="1"/>
  <c r="H160" i="1"/>
  <c r="H137" i="1"/>
  <c r="H113" i="1"/>
  <c r="H97" i="1"/>
  <c r="H81" i="1"/>
  <c r="H65" i="1"/>
  <c r="H153" i="1"/>
  <c r="H134" i="1"/>
  <c r="H116" i="1"/>
  <c r="H100" i="1"/>
  <c r="H84" i="1"/>
  <c r="H68" i="1"/>
  <c r="H152" i="1"/>
  <c r="H144" i="1"/>
  <c r="H136" i="1"/>
  <c r="H128" i="1"/>
  <c r="H122" i="1"/>
  <c r="H119" i="1"/>
  <c r="H106" i="1"/>
  <c r="H103" i="1"/>
  <c r="H90" i="1"/>
  <c r="H87" i="1"/>
  <c r="H74" i="1"/>
  <c r="H71" i="1"/>
  <c r="H150" i="1"/>
  <c r="H139" i="1"/>
  <c r="H141" i="1"/>
  <c r="H109" i="1"/>
  <c r="H77" i="1"/>
  <c r="H64" i="1"/>
  <c r="H61" i="1"/>
  <c r="H57" i="1"/>
  <c r="H53" i="1"/>
  <c r="H49" i="1"/>
  <c r="H45" i="1"/>
  <c r="H41" i="1"/>
  <c r="H37" i="1"/>
  <c r="H33" i="1"/>
  <c r="H29" i="1"/>
  <c r="H25" i="1"/>
  <c r="H21" i="1"/>
  <c r="H142" i="1"/>
  <c r="H131" i="1"/>
  <c r="H133" i="1"/>
  <c r="H96" i="1"/>
  <c r="H154" i="1"/>
  <c r="H130" i="1"/>
  <c r="H102" i="1"/>
  <c r="H83" i="1"/>
  <c r="H60" i="1"/>
  <c r="H56" i="1"/>
  <c r="H52" i="1"/>
  <c r="H48" i="1"/>
  <c r="H44" i="1"/>
  <c r="H40" i="1"/>
  <c r="H36" i="1"/>
  <c r="H32" i="1"/>
  <c r="H28" i="1"/>
  <c r="H24" i="1"/>
  <c r="H158" i="1"/>
  <c r="H147" i="1"/>
  <c r="H157" i="1"/>
  <c r="H125" i="1"/>
  <c r="H93" i="1"/>
  <c r="H146" i="1"/>
  <c r="H118" i="1"/>
  <c r="H99" i="1"/>
  <c r="H70" i="1"/>
  <c r="H159" i="1"/>
  <c r="H151" i="1"/>
  <c r="H143" i="1"/>
  <c r="H135" i="1"/>
  <c r="H127" i="1"/>
  <c r="H124" i="1"/>
  <c r="H121" i="1"/>
  <c r="H108" i="1"/>
  <c r="H105" i="1"/>
  <c r="H92" i="1"/>
  <c r="H89" i="1"/>
  <c r="H76" i="1"/>
  <c r="H73" i="1"/>
  <c r="H129" i="1"/>
  <c r="H155" i="1"/>
  <c r="H149" i="1"/>
  <c r="H112" i="1"/>
  <c r="H80" i="1"/>
  <c r="H138" i="1"/>
  <c r="H115" i="1"/>
  <c r="H86" i="1"/>
  <c r="H67" i="1"/>
  <c r="H156" i="1"/>
  <c r="H148" i="1"/>
  <c r="H140" i="1"/>
  <c r="H132" i="1"/>
  <c r="H114" i="1"/>
  <c r="H111" i="1"/>
  <c r="H98" i="1"/>
  <c r="H95" i="1"/>
  <c r="H82" i="1"/>
  <c r="H79" i="1"/>
  <c r="H66" i="1"/>
  <c r="H63" i="1"/>
  <c r="H120" i="1"/>
  <c r="H117" i="1"/>
  <c r="H104" i="1"/>
  <c r="H101" i="1"/>
  <c r="H88" i="1"/>
  <c r="H85" i="1"/>
  <c r="H72" i="1"/>
  <c r="H69" i="1"/>
  <c r="H59" i="1"/>
  <c r="H55" i="1"/>
  <c r="H51" i="1"/>
  <c r="H47" i="1"/>
  <c r="H43" i="1"/>
  <c r="H39" i="1"/>
  <c r="H35" i="1"/>
  <c r="H31" i="1"/>
  <c r="H27" i="1"/>
  <c r="H23" i="1"/>
  <c r="H145" i="1"/>
  <c r="H126" i="1"/>
  <c r="H123" i="1"/>
  <c r="H110" i="1"/>
  <c r="H107" i="1"/>
  <c r="H94" i="1"/>
  <c r="H91" i="1"/>
  <c r="H78" i="1"/>
  <c r="H75" i="1"/>
  <c r="H62" i="1"/>
  <c r="H58" i="1"/>
  <c r="H54" i="1"/>
  <c r="H50" i="1"/>
  <c r="H46" i="1"/>
  <c r="H42" i="1"/>
  <c r="H38" i="1"/>
  <c r="H34" i="1"/>
  <c r="H30" i="1"/>
  <c r="H26" i="1"/>
  <c r="H22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" i="2"/>
  <c r="I220" i="1" l="1"/>
  <c r="G220" i="1" s="1"/>
  <c r="A220" i="1" s="1"/>
  <c r="F220" i="1" s="1"/>
  <c r="I188" i="1" l="1"/>
  <c r="G188" i="1" s="1"/>
  <c r="A188" i="1" s="1"/>
  <c r="F188" i="1" s="1"/>
  <c r="I268" i="1"/>
  <c r="G268" i="1" s="1"/>
  <c r="A268" i="1" s="1"/>
  <c r="F268" i="1" s="1"/>
  <c r="I175" i="1"/>
  <c r="G175" i="1" s="1"/>
  <c r="A175" i="1" s="1"/>
  <c r="F175" i="1" s="1"/>
  <c r="I217" i="1"/>
  <c r="G217" i="1" s="1"/>
  <c r="A217" i="1" s="1"/>
  <c r="F217" i="1" s="1"/>
  <c r="I246" i="1"/>
  <c r="G246" i="1" s="1"/>
  <c r="A246" i="1" s="1"/>
  <c r="F246" i="1" s="1"/>
  <c r="I229" i="1"/>
  <c r="G229" i="1" s="1"/>
  <c r="A229" i="1" s="1"/>
  <c r="F229" i="1" s="1"/>
  <c r="I226" i="1"/>
  <c r="G226" i="1" s="1"/>
  <c r="A226" i="1" s="1"/>
  <c r="F226" i="1" s="1"/>
  <c r="I256" i="1"/>
  <c r="G256" i="1" s="1"/>
  <c r="A256" i="1" s="1"/>
  <c r="F256" i="1" s="1"/>
  <c r="I252" i="1"/>
  <c r="G252" i="1" s="1"/>
  <c r="A252" i="1" s="1"/>
  <c r="F252" i="1" s="1"/>
  <c r="I242" i="1"/>
  <c r="G242" i="1" s="1"/>
  <c r="A242" i="1" s="1"/>
  <c r="F242" i="1" s="1"/>
  <c r="I230" i="1"/>
  <c r="G230" i="1" s="1"/>
  <c r="A230" i="1" s="1"/>
  <c r="F230" i="1" s="1"/>
  <c r="I219" i="1"/>
  <c r="G219" i="1" s="1"/>
  <c r="A219" i="1" s="1"/>
  <c r="F219" i="1" s="1"/>
  <c r="I178" i="1"/>
  <c r="G178" i="1" s="1"/>
  <c r="A178" i="1" s="1"/>
  <c r="F178" i="1" s="1"/>
  <c r="I223" i="1"/>
  <c r="G223" i="1" s="1"/>
  <c r="A223" i="1" s="1"/>
  <c r="F223" i="1" s="1"/>
  <c r="I177" i="1"/>
  <c r="G177" i="1" s="1"/>
  <c r="A177" i="1" s="1"/>
  <c r="F177" i="1" s="1"/>
  <c r="I248" i="1"/>
  <c r="G248" i="1" s="1"/>
  <c r="A248" i="1" s="1"/>
  <c r="F248" i="1" s="1"/>
  <c r="I249" i="1"/>
  <c r="G249" i="1" s="1"/>
  <c r="A249" i="1" s="1"/>
  <c r="F249" i="1" s="1"/>
  <c r="I241" i="1"/>
  <c r="G241" i="1" s="1"/>
  <c r="A241" i="1" s="1"/>
  <c r="F241" i="1" s="1"/>
  <c r="I205" i="1"/>
  <c r="G205" i="1" s="1"/>
  <c r="A205" i="1" s="1"/>
  <c r="F205" i="1" s="1"/>
  <c r="I190" i="1"/>
  <c r="G190" i="1" s="1"/>
  <c r="I221" i="1"/>
  <c r="G221" i="1" s="1"/>
  <c r="A221" i="1" s="1"/>
  <c r="F221" i="1" s="1"/>
  <c r="I208" i="1"/>
  <c r="G208" i="1" s="1"/>
  <c r="A208" i="1" s="1"/>
  <c r="F208" i="1" s="1"/>
  <c r="I264" i="1"/>
  <c r="G264" i="1" s="1"/>
  <c r="A264" i="1" s="1"/>
  <c r="F264" i="1" s="1"/>
  <c r="I191" i="1"/>
  <c r="G191" i="1" s="1"/>
  <c r="I231" i="1"/>
  <c r="G231" i="1" s="1"/>
  <c r="A231" i="1" s="1"/>
  <c r="F231" i="1" s="1"/>
  <c r="I212" i="1"/>
  <c r="G212" i="1" s="1"/>
  <c r="A212" i="1" s="1"/>
  <c r="F212" i="1" s="1"/>
  <c r="I176" i="1"/>
  <c r="G176" i="1" s="1"/>
  <c r="A176" i="1" s="1"/>
  <c r="F176" i="1" s="1"/>
  <c r="I195" i="1"/>
  <c r="G195" i="1" s="1"/>
  <c r="A195" i="1" s="1"/>
  <c r="F195" i="1" s="1"/>
  <c r="I254" i="1"/>
  <c r="G254" i="1" s="1"/>
  <c r="A254" i="1" s="1"/>
  <c r="F254" i="1" s="1"/>
  <c r="I250" i="1"/>
  <c r="G250" i="1" s="1"/>
  <c r="A250" i="1" s="1"/>
  <c r="F250" i="1" s="1"/>
  <c r="I228" i="1"/>
  <c r="G228" i="1" s="1"/>
  <c r="A228" i="1" s="1"/>
  <c r="F228" i="1" s="1"/>
  <c r="I225" i="1"/>
  <c r="G225" i="1" s="1"/>
  <c r="A225" i="1" s="1"/>
  <c r="F225" i="1" s="1"/>
  <c r="I224" i="1"/>
  <c r="G224" i="1" s="1"/>
  <c r="A224" i="1" s="1"/>
  <c r="F224" i="1" s="1"/>
  <c r="I193" i="1"/>
  <c r="G193" i="1" s="1"/>
  <c r="I215" i="1"/>
  <c r="G215" i="1" s="1"/>
  <c r="A215" i="1" s="1"/>
  <c r="I168" i="1"/>
  <c r="G168" i="1" s="1"/>
  <c r="A168" i="1" s="1"/>
  <c r="F168" i="1" s="1"/>
  <c r="I183" i="1"/>
  <c r="G183" i="1" s="1"/>
  <c r="A183" i="1" s="1"/>
  <c r="F183" i="1" s="1"/>
  <c r="I186" i="1"/>
  <c r="G186" i="1" s="1"/>
  <c r="A186" i="1" s="1"/>
  <c r="F186" i="1" s="1"/>
  <c r="I171" i="1"/>
  <c r="G171" i="1" s="1"/>
  <c r="A171" i="1" s="1"/>
  <c r="F171" i="1" s="1"/>
  <c r="I174" i="1"/>
  <c r="G174" i="1" s="1"/>
  <c r="A174" i="1" s="1"/>
  <c r="F174" i="1" s="1"/>
  <c r="I187" i="1"/>
  <c r="G187" i="1" s="1"/>
  <c r="I180" i="1"/>
  <c r="G180" i="1" s="1"/>
  <c r="A180" i="1" s="1"/>
  <c r="F180" i="1" s="1"/>
  <c r="I240" i="1"/>
  <c r="G240" i="1" s="1"/>
  <c r="A240" i="1" s="1"/>
  <c r="F240" i="1" s="1"/>
  <c r="I211" i="1"/>
  <c r="G211" i="1" s="1"/>
  <c r="A211" i="1" s="1"/>
  <c r="F211" i="1" s="1"/>
  <c r="I181" i="1"/>
  <c r="G181" i="1" s="1"/>
  <c r="A181" i="1" s="1"/>
  <c r="F181" i="1" s="1"/>
  <c r="I261" i="1"/>
  <c r="G261" i="1" s="1"/>
  <c r="A261" i="1" s="1"/>
  <c r="F261" i="1" s="1"/>
  <c r="I267" i="1"/>
  <c r="G267" i="1" s="1"/>
  <c r="I210" i="1"/>
  <c r="G210" i="1" s="1"/>
  <c r="I204" i="1"/>
  <c r="G204" i="1" s="1"/>
  <c r="A204" i="1" s="1"/>
  <c r="F204" i="1" s="1"/>
  <c r="I260" i="1"/>
  <c r="G260" i="1" s="1"/>
  <c r="I218" i="1"/>
  <c r="G218" i="1" s="1"/>
  <c r="I173" i="1"/>
  <c r="G173" i="1" s="1"/>
  <c r="A173" i="1" s="1"/>
  <c r="F173" i="1" s="1"/>
  <c r="I239" i="1"/>
  <c r="G239" i="1" s="1"/>
  <c r="I263" i="1"/>
  <c r="G263" i="1" s="1"/>
  <c r="I214" i="1"/>
  <c r="G214" i="1" s="1"/>
  <c r="A214" i="1" s="1"/>
  <c r="F214" i="1" s="1"/>
  <c r="I169" i="1"/>
  <c r="G169" i="1" s="1"/>
  <c r="A169" i="1" s="1"/>
  <c r="F169" i="1" s="1"/>
  <c r="I216" i="1"/>
  <c r="G216" i="1" s="1"/>
  <c r="A216" i="1" s="1"/>
  <c r="F216" i="1" s="1"/>
  <c r="I243" i="1"/>
  <c r="G243" i="1" s="1"/>
  <c r="A243" i="1" s="1"/>
  <c r="F243" i="1" s="1"/>
  <c r="I182" i="1"/>
  <c r="G182" i="1" s="1"/>
  <c r="A182" i="1" s="1"/>
  <c r="F182" i="1" s="1"/>
  <c r="I192" i="1"/>
  <c r="G192" i="1" s="1"/>
  <c r="I235" i="1"/>
  <c r="G235" i="1" s="1"/>
  <c r="A235" i="1" s="1"/>
  <c r="F235" i="1" s="1"/>
  <c r="I257" i="1"/>
  <c r="G257" i="1" s="1"/>
  <c r="I185" i="1"/>
  <c r="G185" i="1" s="1"/>
  <c r="A185" i="1" s="1"/>
  <c r="F185" i="1" s="1"/>
  <c r="I222" i="1"/>
  <c r="G222" i="1" s="1"/>
  <c r="A222" i="1" s="1"/>
  <c r="F222" i="1" s="1"/>
  <c r="I244" i="1"/>
  <c r="G244" i="1" s="1"/>
  <c r="A244" i="1" s="1"/>
  <c r="F244" i="1" s="1"/>
  <c r="I234" i="1"/>
  <c r="G234" i="1" s="1"/>
  <c r="A234" i="1" s="1"/>
  <c r="F234" i="1" s="1"/>
  <c r="I213" i="1"/>
  <c r="G213" i="1" s="1"/>
  <c r="A213" i="1" s="1"/>
  <c r="F213" i="1" s="1"/>
  <c r="I265" i="1"/>
  <c r="G265" i="1" s="1"/>
  <c r="A265" i="1" s="1"/>
  <c r="F265" i="1" s="1"/>
  <c r="I203" i="1"/>
  <c r="G203" i="1" s="1"/>
  <c r="A203" i="1" s="1"/>
  <c r="F203" i="1" s="1"/>
  <c r="I233" i="1"/>
  <c r="G233" i="1" s="1"/>
  <c r="A233" i="1" s="1"/>
  <c r="F233" i="1" s="1"/>
  <c r="I172" i="1"/>
  <c r="G172" i="1" s="1"/>
  <c r="A172" i="1" s="1"/>
  <c r="F172" i="1" s="1"/>
  <c r="I207" i="1"/>
  <c r="G207" i="1" s="1"/>
  <c r="I170" i="1"/>
  <c r="G170" i="1" s="1"/>
  <c r="A170" i="1" s="1"/>
  <c r="F170" i="1" s="1"/>
  <c r="I197" i="1"/>
  <c r="G197" i="1" s="1"/>
  <c r="A197" i="1" s="1"/>
  <c r="F197" i="1" s="1"/>
  <c r="I238" i="1"/>
  <c r="G238" i="1" s="1"/>
  <c r="A238" i="1" s="1"/>
  <c r="F238" i="1" s="1"/>
  <c r="I199" i="1"/>
  <c r="G199" i="1" s="1"/>
  <c r="I266" i="1"/>
  <c r="G266" i="1" s="1"/>
  <c r="A266" i="1" s="1"/>
  <c r="F266" i="1" s="1"/>
  <c r="I189" i="1"/>
  <c r="G189" i="1" s="1"/>
  <c r="A189" i="1" s="1"/>
  <c r="F189" i="1" s="1"/>
  <c r="I232" i="1"/>
  <c r="G232" i="1" s="1"/>
  <c r="A232" i="1" s="1"/>
  <c r="F232" i="1" s="1"/>
  <c r="I262" i="1"/>
  <c r="G262" i="1" s="1"/>
  <c r="A262" i="1" s="1"/>
  <c r="F262" i="1" s="1"/>
  <c r="I209" i="1"/>
  <c r="G209" i="1" s="1"/>
  <c r="A209" i="1" s="1"/>
  <c r="F209" i="1" s="1"/>
  <c r="I236" i="1"/>
  <c r="G236" i="1" s="1"/>
  <c r="A236" i="1" s="1"/>
  <c r="F236" i="1" s="1"/>
  <c r="I258" i="1"/>
  <c r="G258" i="1" s="1"/>
  <c r="I201" i="1"/>
  <c r="G201" i="1" s="1"/>
  <c r="A201" i="1" s="1"/>
  <c r="F201" i="1" s="1"/>
  <c r="I227" i="1"/>
  <c r="G227" i="1" s="1"/>
  <c r="A227" i="1" s="1"/>
  <c r="F227" i="1" s="1"/>
  <c r="I179" i="1"/>
  <c r="G179" i="1" s="1"/>
  <c r="A179" i="1" s="1"/>
  <c r="F179" i="1" s="1"/>
  <c r="I259" i="1"/>
  <c r="G259" i="1" s="1"/>
  <c r="I202" i="1"/>
  <c r="G202" i="1" s="1"/>
  <c r="I200" i="1"/>
  <c r="G200" i="1" s="1"/>
  <c r="A200" i="1" s="1"/>
  <c r="F200" i="1" s="1"/>
  <c r="I184" i="1"/>
  <c r="G184" i="1" s="1"/>
  <c r="A184" i="1" s="1"/>
  <c r="F184" i="1" s="1"/>
  <c r="I251" i="1"/>
  <c r="G251" i="1" s="1"/>
  <c r="A251" i="1" s="1"/>
  <c r="F251" i="1" s="1"/>
  <c r="I194" i="1"/>
  <c r="G194" i="1" s="1"/>
  <c r="I196" i="1"/>
  <c r="G196" i="1" s="1"/>
  <c r="A196" i="1" s="1"/>
  <c r="F196" i="1" s="1"/>
  <c r="I255" i="1"/>
  <c r="G255" i="1" s="1"/>
  <c r="I206" i="1"/>
  <c r="G206" i="1" s="1"/>
  <c r="A206" i="1" s="1"/>
  <c r="F206" i="1" s="1"/>
  <c r="I245" i="1"/>
  <c r="G245" i="1" s="1"/>
  <c r="A245" i="1" s="1"/>
  <c r="F245" i="1" s="1"/>
  <c r="I247" i="1"/>
  <c r="G247" i="1" s="1"/>
  <c r="I198" i="1"/>
  <c r="G198" i="1" s="1"/>
  <c r="A198" i="1" s="1"/>
  <c r="F198" i="1" s="1"/>
  <c r="I237" i="1"/>
  <c r="G237" i="1" s="1"/>
  <c r="A237" i="1" s="1"/>
  <c r="F237" i="1" s="1"/>
  <c r="I253" i="1"/>
  <c r="G253" i="1" s="1"/>
  <c r="A253" i="1" s="1"/>
  <c r="F253" i="1" s="1"/>
  <c r="I58" i="1"/>
  <c r="G58" i="1" s="1"/>
  <c r="A58" i="1" s="1"/>
  <c r="I161" i="1"/>
  <c r="G161" i="1" s="1"/>
  <c r="I164" i="1"/>
  <c r="G164" i="1" s="1"/>
  <c r="I163" i="1"/>
  <c r="G163" i="1" s="1"/>
  <c r="I165" i="1"/>
  <c r="G165" i="1" s="1"/>
  <c r="I160" i="1"/>
  <c r="G160" i="1" s="1"/>
  <c r="I166" i="1"/>
  <c r="G166" i="1" s="1"/>
  <c r="I162" i="1"/>
  <c r="G162" i="1" s="1"/>
  <c r="I167" i="1"/>
  <c r="G167" i="1" s="1"/>
  <c r="I45" i="1"/>
  <c r="G45" i="1" s="1"/>
  <c r="A45" i="1" s="1"/>
  <c r="I67" i="1"/>
  <c r="G67" i="1" s="1"/>
  <c r="A67" i="1" s="1"/>
  <c r="I23" i="1"/>
  <c r="G23" i="1" s="1"/>
  <c r="A23" i="1" s="1"/>
  <c r="I144" i="1"/>
  <c r="G144" i="1" s="1"/>
  <c r="A144" i="1" s="1"/>
  <c r="I47" i="1"/>
  <c r="G47" i="1" s="1"/>
  <c r="A47" i="1" s="1"/>
  <c r="I101" i="1"/>
  <c r="G101" i="1" s="1"/>
  <c r="A101" i="1" s="1"/>
  <c r="I14" i="1"/>
  <c r="I127" i="1"/>
  <c r="G127" i="1" s="1"/>
  <c r="A127" i="1" s="1"/>
  <c r="I143" i="1"/>
  <c r="G143" i="1" s="1"/>
  <c r="A143" i="1" s="1"/>
  <c r="I81" i="1"/>
  <c r="G81" i="1" s="1"/>
  <c r="A81" i="1" s="1"/>
  <c r="I5" i="1"/>
  <c r="I146" i="1"/>
  <c r="G146" i="1" s="1"/>
  <c r="A146" i="1" s="1"/>
  <c r="I124" i="1"/>
  <c r="G124" i="1" s="1"/>
  <c r="A124" i="1" s="1"/>
  <c r="I90" i="1"/>
  <c r="G90" i="1" s="1"/>
  <c r="A90" i="1" s="1"/>
  <c r="I102" i="1"/>
  <c r="G102" i="1" s="1"/>
  <c r="A102" i="1" s="1"/>
  <c r="I108" i="1"/>
  <c r="G108" i="1" s="1"/>
  <c r="A108" i="1" s="1"/>
  <c r="I104" i="1"/>
  <c r="G104" i="1" s="1"/>
  <c r="A104" i="1" s="1"/>
  <c r="I50" i="1"/>
  <c r="G50" i="1" s="1"/>
  <c r="A50" i="1" s="1"/>
  <c r="I62" i="1"/>
  <c r="G62" i="1" s="1"/>
  <c r="A62" i="1" s="1"/>
  <c r="I15" i="1"/>
  <c r="I153" i="1"/>
  <c r="G153" i="1" s="1"/>
  <c r="A153" i="1" s="1"/>
  <c r="I116" i="1"/>
  <c r="G116" i="1" s="1"/>
  <c r="A116" i="1" s="1"/>
  <c r="I145" i="1"/>
  <c r="G145" i="1" s="1"/>
  <c r="A145" i="1" s="1"/>
  <c r="I118" i="1"/>
  <c r="G118" i="1" s="1"/>
  <c r="A118" i="1" s="1"/>
  <c r="I78" i="1"/>
  <c r="G78" i="1" s="1"/>
  <c r="A78" i="1" s="1"/>
  <c r="I122" i="1"/>
  <c r="G122" i="1" s="1"/>
  <c r="A122" i="1" s="1"/>
  <c r="I52" i="1"/>
  <c r="G52" i="1" s="1"/>
  <c r="A52" i="1" s="1"/>
  <c r="I75" i="1"/>
  <c r="G75" i="1" s="1"/>
  <c r="A75" i="1" s="1"/>
  <c r="I44" i="1"/>
  <c r="G44" i="1" s="1"/>
  <c r="A44" i="1" s="1"/>
  <c r="I150" i="1"/>
  <c r="G150" i="1" s="1"/>
  <c r="A150" i="1" s="1"/>
  <c r="I33" i="1"/>
  <c r="G33" i="1" s="1"/>
  <c r="A33" i="1" s="1"/>
  <c r="I128" i="1"/>
  <c r="G128" i="1" s="1"/>
  <c r="A128" i="1" s="1"/>
  <c r="I111" i="1"/>
  <c r="G111" i="1" s="1"/>
  <c r="A111" i="1" s="1"/>
  <c r="I99" i="1"/>
  <c r="G99" i="1" s="1"/>
  <c r="A99" i="1" s="1"/>
  <c r="I95" i="1"/>
  <c r="G95" i="1" s="1"/>
  <c r="A95" i="1" s="1"/>
  <c r="I37" i="1"/>
  <c r="G37" i="1" s="1"/>
  <c r="A37" i="1" s="1"/>
  <c r="I115" i="1"/>
  <c r="G115" i="1" s="1"/>
  <c r="A115" i="1" s="1"/>
  <c r="I27" i="1"/>
  <c r="G27" i="1" s="1"/>
  <c r="A27" i="1" s="1"/>
  <c r="I109" i="1"/>
  <c r="G109" i="1" s="1"/>
  <c r="A109" i="1" s="1"/>
  <c r="I51" i="1"/>
  <c r="G51" i="1" s="1"/>
  <c r="A51" i="1" s="1"/>
  <c r="I6" i="1"/>
  <c r="I105" i="1"/>
  <c r="G105" i="1" s="1"/>
  <c r="A105" i="1" s="1"/>
  <c r="I18" i="1"/>
  <c r="I136" i="1"/>
  <c r="G136" i="1" s="1"/>
  <c r="A136" i="1" s="1"/>
  <c r="I151" i="1"/>
  <c r="G151" i="1" s="1"/>
  <c r="A151" i="1" s="1"/>
  <c r="I25" i="1"/>
  <c r="G25" i="1" s="1"/>
  <c r="A25" i="1" s="1"/>
  <c r="I4" i="1"/>
  <c r="I71" i="1"/>
  <c r="G71" i="1" s="1"/>
  <c r="A71" i="1" s="1"/>
  <c r="I89" i="1"/>
  <c r="G89" i="1" s="1"/>
  <c r="A89" i="1" s="1"/>
  <c r="I85" i="1"/>
  <c r="G85" i="1" s="1"/>
  <c r="A85" i="1" s="1"/>
  <c r="I12" i="1"/>
  <c r="I10" i="1"/>
  <c r="I159" i="1"/>
  <c r="G159" i="1" s="1"/>
  <c r="I157" i="1"/>
  <c r="G157" i="1" s="1"/>
  <c r="A157" i="1" s="1"/>
  <c r="I131" i="1"/>
  <c r="G131" i="1" s="1"/>
  <c r="A131" i="1" s="1"/>
  <c r="I68" i="1"/>
  <c r="G68" i="1" s="1"/>
  <c r="A68" i="1" s="1"/>
  <c r="I110" i="1"/>
  <c r="G110" i="1" s="1"/>
  <c r="A110" i="1" s="1"/>
  <c r="I46" i="1"/>
  <c r="G46" i="1" s="1"/>
  <c r="A46" i="1" s="1"/>
  <c r="I36" i="1"/>
  <c r="G36" i="1" s="1"/>
  <c r="A36" i="1" s="1"/>
  <c r="I155" i="1"/>
  <c r="G155" i="1" s="1"/>
  <c r="A155" i="1" s="1"/>
  <c r="I48" i="1"/>
  <c r="G48" i="1" s="1"/>
  <c r="A48" i="1" s="1"/>
  <c r="I106" i="1"/>
  <c r="G106" i="1" s="1"/>
  <c r="A106" i="1" s="1"/>
  <c r="I86" i="1"/>
  <c r="G86" i="1" s="1"/>
  <c r="A86" i="1" s="1"/>
  <c r="I142" i="1"/>
  <c r="G142" i="1" s="1"/>
  <c r="A142" i="1" s="1"/>
  <c r="I66" i="1"/>
  <c r="G66" i="1" s="1"/>
  <c r="A66" i="1" s="1"/>
  <c r="I91" i="1"/>
  <c r="G91" i="1" s="1"/>
  <c r="A91" i="1" s="1"/>
  <c r="I100" i="1"/>
  <c r="G100" i="1" s="1"/>
  <c r="A100" i="1" s="1"/>
  <c r="I120" i="1"/>
  <c r="G120" i="1" s="1"/>
  <c r="A120" i="1" s="1"/>
  <c r="I56" i="1"/>
  <c r="G56" i="1" s="1"/>
  <c r="A56" i="1" s="1"/>
  <c r="I38" i="1"/>
  <c r="G38" i="1" s="1"/>
  <c r="A38" i="1" s="1"/>
  <c r="I9" i="1"/>
  <c r="I34" i="1"/>
  <c r="G34" i="1" s="1"/>
  <c r="A34" i="1" s="1"/>
  <c r="I30" i="1"/>
  <c r="G30" i="1" s="1"/>
  <c r="A30" i="1" s="1"/>
  <c r="I77" i="1"/>
  <c r="G77" i="1" s="1"/>
  <c r="A77" i="1" s="1"/>
  <c r="I140" i="1"/>
  <c r="G140" i="1" s="1"/>
  <c r="A140" i="1" s="1"/>
  <c r="I63" i="1"/>
  <c r="G63" i="1" s="1"/>
  <c r="A63" i="1" s="1"/>
  <c r="I138" i="1"/>
  <c r="G138" i="1" s="1"/>
  <c r="A138" i="1" s="1"/>
  <c r="I16" i="1"/>
  <c r="I103" i="1"/>
  <c r="G103" i="1" s="1"/>
  <c r="A103" i="1" s="1"/>
  <c r="I130" i="1"/>
  <c r="G130" i="1" s="1"/>
  <c r="A130" i="1" s="1"/>
  <c r="I121" i="1"/>
  <c r="G121" i="1" s="1"/>
  <c r="A121" i="1" s="1"/>
  <c r="I117" i="1"/>
  <c r="G117" i="1" s="1"/>
  <c r="A117" i="1" s="1"/>
  <c r="I119" i="1"/>
  <c r="G119" i="1" s="1"/>
  <c r="A119" i="1" s="1"/>
  <c r="I31" i="1"/>
  <c r="G31" i="1" s="1"/>
  <c r="A31" i="1" s="1"/>
  <c r="I41" i="1"/>
  <c r="G41" i="1" s="1"/>
  <c r="A41" i="1" s="1"/>
  <c r="I83" i="1"/>
  <c r="G83" i="1" s="1"/>
  <c r="A83" i="1" s="1"/>
  <c r="I73" i="1"/>
  <c r="G73" i="1" s="1"/>
  <c r="A73" i="1" s="1"/>
  <c r="I20" i="1"/>
  <c r="I59" i="1"/>
  <c r="G59" i="1" s="1"/>
  <c r="A59" i="1" s="1"/>
  <c r="I135" i="1"/>
  <c r="G135" i="1" s="1"/>
  <c r="A135" i="1" s="1"/>
  <c r="I53" i="1"/>
  <c r="G53" i="1" s="1"/>
  <c r="A53" i="1" s="1"/>
  <c r="I61" i="1"/>
  <c r="G61" i="1" s="1"/>
  <c r="A61" i="1" s="1"/>
  <c r="I39" i="1"/>
  <c r="G39" i="1" s="1"/>
  <c r="A39" i="1" s="1"/>
  <c r="I8" i="1"/>
  <c r="I57" i="1"/>
  <c r="G57" i="1" s="1"/>
  <c r="A57" i="1" s="1"/>
  <c r="I93" i="1"/>
  <c r="G93" i="1" s="1"/>
  <c r="A93" i="1" s="1"/>
  <c r="I54" i="1"/>
  <c r="G54" i="1" s="1"/>
  <c r="A54" i="1" s="1"/>
  <c r="I65" i="1"/>
  <c r="G65" i="1" s="1"/>
  <c r="A65" i="1" s="1"/>
  <c r="I158" i="1"/>
  <c r="G158" i="1" s="1"/>
  <c r="I156" i="1"/>
  <c r="G156" i="1" s="1"/>
  <c r="A156" i="1" s="1"/>
  <c r="I7" i="1"/>
  <c r="I148" i="1"/>
  <c r="G148" i="1" s="1"/>
  <c r="A148" i="1" s="1"/>
  <c r="I94" i="1"/>
  <c r="G94" i="1" s="1"/>
  <c r="A94" i="1" s="1"/>
  <c r="I74" i="1"/>
  <c r="G74" i="1" s="1"/>
  <c r="A74" i="1" s="1"/>
  <c r="I60" i="1"/>
  <c r="G60" i="1" s="1"/>
  <c r="A60" i="1" s="1"/>
  <c r="I92" i="1"/>
  <c r="G92" i="1" s="1"/>
  <c r="A92" i="1" s="1"/>
  <c r="I88" i="1"/>
  <c r="G88" i="1" s="1"/>
  <c r="A88" i="1" s="1"/>
  <c r="I42" i="1"/>
  <c r="G42" i="1" s="1"/>
  <c r="A42" i="1" s="1"/>
  <c r="I126" i="1"/>
  <c r="G126" i="1" s="1"/>
  <c r="A126" i="1" s="1"/>
  <c r="I26" i="1"/>
  <c r="G26" i="1" s="1"/>
  <c r="A26" i="1" s="1"/>
  <c r="I24" i="1"/>
  <c r="G24" i="1" s="1"/>
  <c r="A24" i="1" s="1"/>
  <c r="I80" i="1"/>
  <c r="G80" i="1" s="1"/>
  <c r="A80" i="1" s="1"/>
  <c r="I72" i="1"/>
  <c r="G72" i="1" s="1"/>
  <c r="A72" i="1" s="1"/>
  <c r="I113" i="1"/>
  <c r="G113" i="1" s="1"/>
  <c r="A113" i="1" s="1"/>
  <c r="I139" i="1"/>
  <c r="G139" i="1" s="1"/>
  <c r="A139" i="1" s="1"/>
  <c r="I98" i="1"/>
  <c r="G98" i="1" s="1"/>
  <c r="A98" i="1" s="1"/>
  <c r="I32" i="1"/>
  <c r="G32" i="1" s="1"/>
  <c r="A32" i="1" s="1"/>
  <c r="I141" i="1"/>
  <c r="G141" i="1" s="1"/>
  <c r="A141" i="1" s="1"/>
  <c r="I55" i="1"/>
  <c r="G55" i="1" s="1"/>
  <c r="A55" i="1" s="1"/>
  <c r="I149" i="1"/>
  <c r="G149" i="1" s="1"/>
  <c r="A149" i="1" s="1"/>
  <c r="I21" i="1"/>
  <c r="G21" i="1" s="1"/>
  <c r="A21" i="1" s="1"/>
  <c r="I87" i="1"/>
  <c r="G87" i="1" s="1"/>
  <c r="A87" i="1" s="1"/>
  <c r="I79" i="1"/>
  <c r="G79" i="1" s="1"/>
  <c r="A79" i="1" s="1"/>
  <c r="I69" i="1"/>
  <c r="G69" i="1" s="1"/>
  <c r="A69" i="1" s="1"/>
  <c r="I154" i="1"/>
  <c r="G154" i="1" s="1"/>
  <c r="A154" i="1" s="1"/>
  <c r="I43" i="1"/>
  <c r="G43" i="1" s="1"/>
  <c r="A43" i="1" s="1"/>
  <c r="I134" i="1"/>
  <c r="G134" i="1" s="1"/>
  <c r="A134" i="1" s="1"/>
  <c r="I29" i="1"/>
  <c r="G29" i="1" s="1"/>
  <c r="A29" i="1" s="1"/>
  <c r="I125" i="1"/>
  <c r="G125" i="1" s="1"/>
  <c r="A125" i="1" s="1"/>
  <c r="I133" i="1"/>
  <c r="G133" i="1" s="1"/>
  <c r="A133" i="1" s="1"/>
  <c r="I35" i="1"/>
  <c r="G35" i="1" s="1"/>
  <c r="A35" i="1" s="1"/>
  <c r="I49" i="1"/>
  <c r="G49" i="1" s="1"/>
  <c r="A49" i="1" s="1"/>
  <c r="I40" i="1"/>
  <c r="G40" i="1" s="1"/>
  <c r="A40" i="1" s="1"/>
  <c r="I129" i="1"/>
  <c r="G129" i="1" s="1"/>
  <c r="A129" i="1" s="1"/>
  <c r="I22" i="1"/>
  <c r="G22" i="1" s="1"/>
  <c r="A22" i="1" s="1"/>
  <c r="I97" i="1"/>
  <c r="G97" i="1" s="1"/>
  <c r="A97" i="1" s="1"/>
  <c r="I152" i="1"/>
  <c r="G152" i="1" s="1"/>
  <c r="A152" i="1" s="1"/>
  <c r="I11" i="1"/>
  <c r="I70" i="1"/>
  <c r="G70" i="1" s="1"/>
  <c r="A70" i="1" s="1"/>
  <c r="I82" i="1"/>
  <c r="G82" i="1" s="1"/>
  <c r="A82" i="1" s="1"/>
  <c r="I107" i="1"/>
  <c r="G107" i="1" s="1"/>
  <c r="A107" i="1" s="1"/>
  <c r="I147" i="1"/>
  <c r="G147" i="1" s="1"/>
  <c r="A147" i="1" s="1"/>
  <c r="I17" i="1"/>
  <c r="I123" i="1"/>
  <c r="G123" i="1" s="1"/>
  <c r="A123" i="1" s="1"/>
  <c r="I64" i="1"/>
  <c r="G64" i="1" s="1"/>
  <c r="A64" i="1" s="1"/>
  <c r="I28" i="1"/>
  <c r="G28" i="1" s="1"/>
  <c r="A28" i="1" s="1"/>
  <c r="I112" i="1"/>
  <c r="G112" i="1" s="1"/>
  <c r="A112" i="1" s="1"/>
  <c r="I13" i="1"/>
  <c r="I114" i="1"/>
  <c r="G114" i="1" s="1"/>
  <c r="A114" i="1" s="1"/>
  <c r="I96" i="1"/>
  <c r="G96" i="1" s="1"/>
  <c r="A96" i="1" s="1"/>
  <c r="I84" i="1"/>
  <c r="G84" i="1" s="1"/>
  <c r="A84" i="1" s="1"/>
  <c r="I132" i="1"/>
  <c r="G132" i="1" s="1"/>
  <c r="A132" i="1" s="1"/>
  <c r="I3" i="1"/>
  <c r="G3" i="1" s="1"/>
  <c r="I137" i="1"/>
  <c r="G137" i="1" s="1"/>
  <c r="A137" i="1" s="1"/>
  <c r="I76" i="1"/>
  <c r="G76" i="1" s="1"/>
  <c r="A76" i="1" s="1"/>
  <c r="I19" i="1"/>
  <c r="I2" i="1"/>
  <c r="G2" i="1" s="1"/>
  <c r="A2" i="1" s="1"/>
  <c r="G12" i="1" l="1"/>
  <c r="G17" i="1"/>
  <c r="G8" i="1"/>
  <c r="G16" i="1"/>
  <c r="G4" i="1"/>
  <c r="G19" i="1"/>
  <c r="G11" i="1"/>
  <c r="G18" i="1"/>
  <c r="A18" i="1" s="1"/>
  <c r="G5" i="1"/>
  <c r="G20" i="1"/>
  <c r="G6" i="1"/>
  <c r="G9" i="1"/>
  <c r="A9" i="1" s="1"/>
  <c r="G7" i="1"/>
  <c r="G14" i="1"/>
  <c r="G13" i="1"/>
  <c r="G10" i="1"/>
  <c r="A10" i="1" s="1"/>
  <c r="G15" i="1"/>
  <c r="A3" i="1"/>
  <c r="F3" i="1" s="1"/>
  <c r="O3" i="1"/>
  <c r="O2" i="1"/>
  <c r="A191" i="1"/>
  <c r="F191" i="1"/>
  <c r="A192" i="1"/>
  <c r="F192" i="1" s="1"/>
  <c r="A193" i="1"/>
  <c r="F193" i="1" s="1"/>
  <c r="A190" i="1"/>
  <c r="F190" i="1" s="1"/>
  <c r="A187" i="1"/>
  <c r="F187" i="1" s="1"/>
  <c r="F215" i="1"/>
  <c r="A199" i="1"/>
  <c r="F199" i="1" s="1"/>
  <c r="A239" i="1"/>
  <c r="F239" i="1" s="1"/>
  <c r="A258" i="1"/>
  <c r="F258" i="1" s="1"/>
  <c r="A194" i="1"/>
  <c r="F194" i="1" s="1"/>
  <c r="A218" i="1"/>
  <c r="F218" i="1" s="1"/>
  <c r="A247" i="1"/>
  <c r="F247" i="1" s="1"/>
  <c r="A260" i="1"/>
  <c r="F260" i="1" s="1"/>
  <c r="A202" i="1"/>
  <c r="F202" i="1" s="1"/>
  <c r="A207" i="1"/>
  <c r="F207" i="1" s="1"/>
  <c r="A259" i="1"/>
  <c r="F259" i="1" s="1"/>
  <c r="A210" i="1"/>
  <c r="F210" i="1" s="1"/>
  <c r="A255" i="1"/>
  <c r="F255" i="1" s="1"/>
  <c r="A267" i="1"/>
  <c r="F267" i="1" s="1"/>
  <c r="A257" i="1"/>
  <c r="F257" i="1" s="1"/>
  <c r="A263" i="1"/>
  <c r="F263" i="1" s="1"/>
  <c r="A166" i="1"/>
  <c r="F166" i="1" s="1"/>
  <c r="A162" i="1"/>
  <c r="F162" i="1" s="1"/>
  <c r="A160" i="1"/>
  <c r="F160" i="1" s="1"/>
  <c r="A165" i="1"/>
  <c r="F165" i="1" s="1"/>
  <c r="A163" i="1"/>
  <c r="F163" i="1" s="1"/>
  <c r="A164" i="1"/>
  <c r="F164" i="1" s="1"/>
  <c r="A161" i="1"/>
  <c r="F161" i="1" s="1"/>
  <c r="A167" i="1"/>
  <c r="F167" i="1" s="1"/>
  <c r="A159" i="1"/>
  <c r="F159" i="1" s="1"/>
  <c r="A158" i="1"/>
  <c r="F158" i="1" s="1"/>
  <c r="F146" i="1"/>
  <c r="F63" i="1"/>
  <c r="F88" i="1"/>
  <c r="F56" i="1"/>
  <c r="F71" i="1"/>
  <c r="F70" i="1"/>
  <c r="F43" i="1"/>
  <c r="F30" i="1"/>
  <c r="F87" i="1"/>
  <c r="F26" i="1"/>
  <c r="F51" i="1"/>
  <c r="F75" i="1"/>
  <c r="F60" i="1"/>
  <c r="F34" i="1"/>
  <c r="F33" i="1"/>
  <c r="F154" i="1"/>
  <c r="F93" i="1"/>
  <c r="F155" i="1"/>
  <c r="F145" i="1"/>
  <c r="F48" i="1"/>
  <c r="F31" i="1"/>
  <c r="F65" i="1"/>
  <c r="F156" i="1"/>
  <c r="F61" i="1"/>
  <c r="F67" i="1"/>
  <c r="F143" i="1"/>
  <c r="F76" i="1"/>
  <c r="F64" i="1"/>
  <c r="F50" i="1"/>
  <c r="F57" i="1"/>
  <c r="F127" i="1"/>
  <c r="F28" i="1"/>
  <c r="F59" i="1"/>
  <c r="F116" i="1"/>
  <c r="F89" i="1"/>
  <c r="F148" i="1"/>
  <c r="F39" i="1"/>
  <c r="F29" i="1"/>
  <c r="F72" i="1"/>
  <c r="F36" i="1"/>
  <c r="F49" i="1"/>
  <c r="F27" i="1"/>
  <c r="F157" i="1"/>
  <c r="F58" i="1"/>
  <c r="F54" i="1"/>
  <c r="F53" i="1"/>
  <c r="F130" i="1"/>
  <c r="F69" i="1"/>
  <c r="F131" i="1"/>
  <c r="F105" i="1"/>
  <c r="F132" i="1"/>
  <c r="F101" i="1"/>
  <c r="F121" i="1"/>
  <c r="F47" i="1"/>
  <c r="F42" i="1"/>
  <c r="F138" i="1"/>
  <c r="F142" i="1"/>
  <c r="F147" i="1"/>
  <c r="F144" i="1"/>
  <c r="F151" i="1"/>
  <c r="F40" i="1"/>
  <c r="F84" i="1"/>
  <c r="F44" i="1"/>
  <c r="F55" i="1"/>
  <c r="F140" i="1"/>
  <c r="F35" i="1"/>
  <c r="F108" i="1"/>
  <c r="F119" i="1"/>
  <c r="F113" i="1"/>
  <c r="F95" i="1"/>
  <c r="F74" i="1"/>
  <c r="F86" i="1"/>
  <c r="F94" i="1"/>
  <c r="F149" i="1"/>
  <c r="F133" i="1"/>
  <c r="F106" i="1"/>
  <c r="F136" i="1"/>
  <c r="F118" i="1"/>
  <c r="F82" i="1"/>
  <c r="F150" i="1"/>
  <c r="F77" i="1"/>
  <c r="F91" i="1"/>
  <c r="F115" i="1"/>
  <c r="F81" i="1"/>
  <c r="F114" i="1"/>
  <c r="F141" i="1"/>
  <c r="F66" i="1"/>
  <c r="F109" i="1"/>
  <c r="F112" i="1"/>
  <c r="F85" i="1"/>
  <c r="F135" i="1"/>
  <c r="F80" i="1"/>
  <c r="F32" i="1"/>
  <c r="F139" i="1"/>
  <c r="F153" i="1"/>
  <c r="F37" i="1"/>
  <c r="F73" i="1"/>
  <c r="F100" i="1"/>
  <c r="F123" i="1"/>
  <c r="F126" i="1"/>
  <c r="F120" i="1"/>
  <c r="F97" i="1"/>
  <c r="F102" i="1"/>
  <c r="F78" i="1"/>
  <c r="F99" i="1"/>
  <c r="F124" i="1"/>
  <c r="F38" i="1"/>
  <c r="F62" i="1"/>
  <c r="F46" i="1"/>
  <c r="F92" i="1"/>
  <c r="F103" i="1"/>
  <c r="F83" i="1"/>
  <c r="F134" i="1"/>
  <c r="F68" i="1"/>
  <c r="F129" i="1"/>
  <c r="F152" i="1"/>
  <c r="F122" i="1"/>
  <c r="F111" i="1"/>
  <c r="F90" i="1"/>
  <c r="F117" i="1"/>
  <c r="F110" i="1"/>
  <c r="F128" i="1"/>
  <c r="F45" i="1"/>
  <c r="F137" i="1"/>
  <c r="F41" i="1"/>
  <c r="F52" i="1"/>
  <c r="F107" i="1"/>
  <c r="F79" i="1"/>
  <c r="F98" i="1"/>
  <c r="F125" i="1"/>
  <c r="F96" i="1"/>
  <c r="F104" i="1"/>
  <c r="F25" i="1"/>
  <c r="F23" i="1"/>
  <c r="F21" i="1"/>
  <c r="F24" i="1"/>
  <c r="F22" i="1"/>
  <c r="A20" i="1" l="1"/>
  <c r="F20" i="1" s="1"/>
  <c r="A5" i="1"/>
  <c r="F5" i="1" s="1"/>
  <c r="A13" i="1"/>
  <c r="F13" i="1" s="1"/>
  <c r="A14" i="1"/>
  <c r="F14" i="1" s="1"/>
  <c r="A7" i="1"/>
  <c r="F7" i="1" s="1"/>
  <c r="A11" i="1"/>
  <c r="F11" i="1" s="1"/>
  <c r="A19" i="1"/>
  <c r="F19" i="1" s="1"/>
  <c r="F9" i="1"/>
  <c r="A4" i="1"/>
  <c r="F4" i="1" s="1"/>
  <c r="A16" i="1"/>
  <c r="F16" i="1" s="1"/>
  <c r="A6" i="1"/>
  <c r="F6" i="1" s="1"/>
  <c r="A8" i="1"/>
  <c r="F8" i="1" s="1"/>
  <c r="A17" i="1"/>
  <c r="F17" i="1" s="1"/>
  <c r="A15" i="1"/>
  <c r="F15" i="1" s="1"/>
  <c r="F10" i="1"/>
  <c r="F18" i="1"/>
  <c r="A12" i="1"/>
  <c r="F12" i="1" s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<sst xmlns="http://schemas.openxmlformats.org/spreadsheetml/2006/main" count="592" uniqueCount="435">
  <si>
    <t>Úplná cesta</t>
  </si>
  <si>
    <t>Název souboru</t>
  </si>
  <si>
    <t>Počet stran</t>
  </si>
  <si>
    <t>Zápis</t>
  </si>
  <si>
    <t>Funkce pro zápis</t>
  </si>
  <si>
    <t>Označení</t>
  </si>
  <si>
    <t>Nápověda:</t>
  </si>
  <si>
    <r>
      <t>Vyberte pomocí tlačítka "A</t>
    </r>
    <r>
      <rPr>
        <b/>
        <sz val="11"/>
        <color theme="1"/>
        <rFont val="Calibri"/>
        <family val="2"/>
        <charset val="238"/>
        <scheme val="minor"/>
      </rPr>
      <t xml:space="preserve">dresář pro zápis" </t>
    </r>
    <r>
      <rPr>
        <sz val="11"/>
        <color theme="1"/>
        <rFont val="Calibri"/>
        <family val="2"/>
        <charset val="238"/>
        <scheme val="minor"/>
      </rPr>
      <t>složku kam chcete zpracované soubory umístit.</t>
    </r>
  </si>
  <si>
    <r>
      <t xml:space="preserve">Označení jednotlivých souborů : Ve sloupci </t>
    </r>
    <r>
      <rPr>
        <b/>
        <sz val="11"/>
        <color theme="1"/>
        <rFont val="Calibri"/>
        <family val="2"/>
        <charset val="238"/>
        <scheme val="minor"/>
      </rPr>
      <t>funkce pro zápis</t>
    </r>
    <r>
      <rPr>
        <sz val="11"/>
        <color theme="1"/>
        <rFont val="Calibri"/>
        <family val="2"/>
        <scheme val="minor"/>
      </rPr>
      <t xml:space="preserve"> je vytvořena funkce na základě které se přebírá číslené označení souboru. 
Toto označení se přebírá do sloupce </t>
    </r>
    <r>
      <rPr>
        <b/>
        <sz val="11"/>
        <color theme="1"/>
        <rFont val="Calibri"/>
        <family val="2"/>
        <charset val="238"/>
        <scheme val="minor"/>
      </rPr>
      <t>Označení.</t>
    </r>
    <r>
      <rPr>
        <sz val="11"/>
        <color theme="1"/>
        <rFont val="Calibri"/>
        <family val="2"/>
        <charset val="238"/>
        <scheme val="minor"/>
      </rPr>
      <t xml:space="preserve"> Hodnota v tomoto sloupci pak bude zapsána do souboru.</t>
    </r>
    <r>
      <rPr>
        <sz val="11"/>
        <color theme="1"/>
        <rFont val="Calibri"/>
        <family val="2"/>
        <scheme val="minor"/>
      </rPr>
      <t xml:space="preserve">
Progres jednotlivých zápisů je vidět ve sloupci </t>
    </r>
    <r>
      <rPr>
        <b/>
        <sz val="11"/>
        <color theme="1"/>
        <rFont val="Calibri"/>
        <family val="2"/>
        <charset val="238"/>
        <scheme val="minor"/>
      </rPr>
      <t>Zápis</t>
    </r>
    <r>
      <rPr>
        <sz val="11"/>
        <color theme="1"/>
        <rFont val="Calibri"/>
        <family val="2"/>
        <charset val="238"/>
        <scheme val="minor"/>
      </rPr>
      <t>.</t>
    </r>
  </si>
  <si>
    <t>Chybová hlášení:</t>
  </si>
  <si>
    <t xml:space="preserve"> Pokud vám během zápisu vyskočí chyba znamená to že soubor nebylo možné doplnit o označení.
Většinou to znamená že je soubor chráněn proti zápisu, nebo je špatná vnitřní struktura souboru.
V případě ochrany proti zápisu je nejjednnodušší soubor vytisknout a naskenovat, nebo prolomit ochranu.
V případě jiné chyby většinou stačí daný soubor oteřít, znova uložit a zavřít.</t>
  </si>
  <si>
    <r>
      <t xml:space="preserve">Vyberte pomocí tlačítka </t>
    </r>
    <r>
      <rPr>
        <b/>
        <sz val="11"/>
        <color theme="1"/>
        <rFont val="Calibri"/>
        <family val="2"/>
        <charset val="238"/>
        <scheme val="minor"/>
      </rPr>
      <t>"Načti adresář s daty"</t>
    </r>
    <r>
      <rPr>
        <sz val="11"/>
        <color theme="1"/>
        <rFont val="Calibri"/>
        <family val="2"/>
        <scheme val="minor"/>
      </rPr>
      <t xml:space="preserve"> složku kde máte připravení soubory na zpracování.
V rámci této funkce se vám načtou veškeré soubory včetně podadrešářů z vybraného adresáře.
A u všech souborů je pro informaci vyčten také počet stran.
V případě že vám některý </t>
    </r>
    <r>
      <rPr>
        <b/>
        <sz val="11"/>
        <color theme="1"/>
        <rFont val="Calibri"/>
        <family val="2"/>
        <charset val="238"/>
        <scheme val="minor"/>
      </rPr>
      <t>řádek zežloutne</t>
    </r>
    <r>
      <rPr>
        <sz val="11"/>
        <color theme="1"/>
        <rFont val="Calibri"/>
        <family val="2"/>
        <scheme val="minor"/>
      </rPr>
      <t xml:space="preserve">, znamená to že u daného souboru nelze vyčíst počet stran, 
tj. počet stran je rovno 0 a </t>
    </r>
    <r>
      <rPr>
        <b/>
        <sz val="11"/>
        <color theme="1"/>
        <rFont val="Calibri"/>
        <family val="2"/>
        <charset val="238"/>
        <scheme val="minor"/>
      </rPr>
      <t>je nutné soubor opravit viz.Chybová hlášení</t>
    </r>
    <r>
      <rPr>
        <sz val="11"/>
        <color theme="1"/>
        <rFont val="Calibri"/>
        <family val="2"/>
        <charset val="238"/>
        <scheme val="minor"/>
      </rPr>
      <t>.</t>
    </r>
  </si>
  <si>
    <r>
      <t xml:space="preserve">V záložce </t>
    </r>
    <r>
      <rPr>
        <b/>
        <sz val="11"/>
        <color theme="1"/>
        <rFont val="Calibri"/>
        <family val="2"/>
        <charset val="238"/>
        <scheme val="minor"/>
      </rPr>
      <t>Obsah</t>
    </r>
    <r>
      <rPr>
        <sz val="11"/>
        <color theme="1"/>
        <rFont val="Calibri"/>
        <family val="2"/>
        <scheme val="minor"/>
      </rPr>
      <t xml:space="preserve"> si pomocí tlačítka vyčtete obsah zpracovanách souborů včetně podadresářů.
Podadresáře slouží jako nadpisy. U jednotlivých souborů je vyčten i počet stran.</t>
    </r>
  </si>
  <si>
    <t>Zdroj</t>
  </si>
  <si>
    <t>Cíl</t>
  </si>
  <si>
    <t>01.</t>
  </si>
  <si>
    <t>chybné soubory</t>
  </si>
  <si>
    <t>Označení adresáře</t>
  </si>
  <si>
    <t>pořadí</t>
  </si>
  <si>
    <t>Nový název souboru</t>
  </si>
  <si>
    <t>smazat soubory</t>
  </si>
  <si>
    <t>prepsat soubory</t>
  </si>
  <si>
    <t>OK</t>
  </si>
  <si>
    <t>0 Content</t>
  </si>
  <si>
    <t>3 Materials and Component's materials Certificates</t>
  </si>
  <si>
    <t>4.1 Internal manufacturing test</t>
  </si>
  <si>
    <t>Content</t>
  </si>
  <si>
    <t>0.0</t>
  </si>
  <si>
    <t>NO. OF PAGES</t>
  </si>
  <si>
    <t>DOCUMENT</t>
  </si>
  <si>
    <t>BOOKMARK</t>
  </si>
  <si>
    <t>Datum</t>
  </si>
  <si>
    <t>Popis</t>
  </si>
  <si>
    <t>Doplněna možnost zrušení otáčení stránek</t>
  </si>
  <si>
    <t>1 (EU) Declaration of Conformity + Certificate of Compliance</t>
  </si>
  <si>
    <t>1.1 Manufacturer's (EU) Declaration of conformity - Certificate of compliance (Complete delivery)</t>
  </si>
  <si>
    <t>1.2 Sub-supplier 's (EU) Declaration of conformity - purchased Components in delivery</t>
  </si>
  <si>
    <t>02.</t>
  </si>
  <si>
    <t>03.</t>
  </si>
  <si>
    <t>04.</t>
  </si>
  <si>
    <t>05.</t>
  </si>
  <si>
    <t>06.</t>
  </si>
  <si>
    <t>07.</t>
  </si>
  <si>
    <t>08.</t>
  </si>
  <si>
    <t>09.</t>
  </si>
  <si>
    <t>10.</t>
  </si>
  <si>
    <t>11.</t>
  </si>
  <si>
    <t>12.</t>
  </si>
  <si>
    <t>13.</t>
  </si>
  <si>
    <t>2 Quality Assurance Program (Inspection and Test Program)</t>
  </si>
  <si>
    <t>3.1 List of materials and components refered to certificates</t>
  </si>
  <si>
    <t>3.2 Materials and Component's Material Certificates</t>
  </si>
  <si>
    <t>14.</t>
  </si>
  <si>
    <t>15.</t>
  </si>
  <si>
    <t>16.</t>
  </si>
  <si>
    <t>3.3 Delivered Equipment Calibration Certificates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</si>
  <si>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</si>
  <si>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</si>
  <si>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</si>
  <si>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</si>
  <si>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</si>
  <si>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</si>
  <si>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</si>
  <si>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</si>
  <si>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</si>
  <si>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</si>
  <si>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4 Manufacturing Reports</t>
  </si>
  <si>
    <t>4.2 Specific manufacturing Reports</t>
  </si>
  <si>
    <t>- Autel Declaration of Conformity - FI.pdf</t>
  </si>
  <si>
    <t>- EU Declaration of Conformity_AGRO.pdf</t>
  </si>
  <si>
    <t>- EU Declaration of Conformity_BAKS.pdf</t>
  </si>
  <si>
    <t>- EU Declaration of Conformity_E+H_PMC51B_PMD55B_PMP51B.pdf</t>
  </si>
  <si>
    <t>- EU Declaration of Conformity_E+H_TM131.pdf</t>
  </si>
  <si>
    <t>- EU Declaration of Conformity_E+H_TMT72.pdf</t>
  </si>
  <si>
    <t>- EU Declaration of Conformity_E+H_TSC310.pdf</t>
  </si>
  <si>
    <t>- EU Declaration of Conformity_EURO2000.pdf</t>
  </si>
  <si>
    <t>- EU Declaration of Conformity_ZPA_61214.pdf</t>
  </si>
  <si>
    <t>- List of material.pdf</t>
  </si>
  <si>
    <t>- Inspection Certificate EN10204-3.1_JSP_NG70.pdf</t>
  </si>
  <si>
    <t>- Inspection Certificate EN10204-3.1_Parker_HDS5MA.pdf</t>
  </si>
  <si>
    <t>- Inspection Certificate EN10204-3.1_Parker_HLS2V.pdf</t>
  </si>
  <si>
    <t>- Inspection Certificate EN10204-3.1_Parker_HNVS8FF3.pdf</t>
  </si>
  <si>
    <t>- Inspection Certificate EN10204-3.1_SUPERLOK_IPP-4N.pdf</t>
  </si>
  <si>
    <t>- Inspection Certificate EN10204-3.1_SUPERLOK_IPP-8N.pdf</t>
  </si>
  <si>
    <t>- Inspection Certificate EN10204-3.1_ZPA.pdf</t>
  </si>
  <si>
    <t>- EU Declaration of Conformity_E+H_PMP51B.pdf</t>
  </si>
  <si>
    <t>- List of Spare parts.pdf</t>
  </si>
  <si>
    <t>- Calibration Certificate_E+H_PMP51B_SPARE_U1.pdf</t>
  </si>
  <si>
    <t>- Calibration Certificate_E+H_PMP51B_SPARE_U2.pdf</t>
  </si>
  <si>
    <t>- Calibration Certificate_E+H_TMT72_Pt100_SPARE_U1.pdf</t>
  </si>
  <si>
    <t>- Calibration Certificate_E+H_TMT72_Pt100_SPARE_U2.pdf</t>
  </si>
  <si>
    <t>- Calibration Certificate_E+H_TMT72_TC_K_SPARE_U1.pdf</t>
  </si>
  <si>
    <t>- Calibration Certificate_E+H_TMT72_TC_K_SPARE_U2.pdf</t>
  </si>
  <si>
    <t>- Calibration Certificate_E+H_TSC310_SPARE_U1.pdf</t>
  </si>
  <si>
    <t>- Calibration Certificate_E+H_TSC310_SPARE_U2.pdf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</si>
  <si>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</si>
  <si>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</si>
  <si>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</si>
  <si>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</si>
  <si>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</si>
  <si>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</si>
  <si>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</si>
  <si>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</si>
  <si>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</si>
  <si>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</si>
  <si>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</si>
  <si>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</si>
  <si>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</si>
  <si>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</si>
  <si>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</si>
  <si>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</si>
  <si>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</si>
  <si>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</si>
  <si>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</si>
  <si>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</si>
  <si>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</si>
  <si>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</si>
  <si>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</si>
  <si>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</si>
  <si>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</si>
  <si>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</si>
  <si>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</si>
  <si>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</si>
  <si>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</si>
  <si>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</si>
  <si>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</si>
  <si>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</si>
  <si>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</si>
  <si>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</si>
  <si>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</si>
  <si>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</si>
  <si>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</si>
  <si>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</si>
  <si>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</si>
  <si>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</si>
  <si>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</si>
  <si>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</si>
  <si>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</si>
  <si>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</si>
  <si>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</si>
  <si>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</si>
  <si>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</si>
  <si>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</si>
  <si>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</si>
  <si>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</si>
  <si>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</si>
  <si>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</si>
  <si>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</si>
  <si>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- EU Declaration of Conformity_Beta_C2.pdf</t>
  </si>
  <si>
    <t>- EU Declaration of Conformity_E+H_FTL41_FTL64.pdf</t>
  </si>
  <si>
    <t>- EU Declaration of Conformity_E+H_PTP31B.pdf</t>
  </si>
  <si>
    <t>- EU Declaration of Conformity_E+H_TMT82.pdf</t>
  </si>
  <si>
    <t>- Certificate of Compliance_LAKE CABLE_TXC162SPOS.pdf</t>
  </si>
  <si>
    <t>- EU Declaration of Conformity2.1_ZPA.pdf</t>
  </si>
  <si>
    <t>- EU Declaration of Conformity_Emkometer_L11.pdf</t>
  </si>
  <si>
    <t>- EU Declaration of Conformity_VEGASWING61.pdf</t>
  </si>
  <si>
    <t>- Inspection Certificate EN10204-3.1_Ashcroft_1009S.pdf</t>
  </si>
  <si>
    <t>- Inspection Certificate EN10204-3.1_E+H_FTL41_BOP2-LS-9027.pdf</t>
  </si>
  <si>
    <t>- Inspection Certificate EN10204-3.1_E+H_FTL41_BOP2-LS-9029.pdf</t>
  </si>
  <si>
    <t>- Inspection Certificate EN10204-3.1_E+H_FTL41_BOP2-LS-9041.pdf</t>
  </si>
  <si>
    <t>- Inspection Certificate EN10204-3.1_E+H_TT151_BOP2-TP-9022A.pdf</t>
  </si>
  <si>
    <t>- Inspection Certificate EN10204-3.1_E+H_TT151_BOP2-TP-9022B.pdf</t>
  </si>
  <si>
    <t>- Inspection Certificate EN10204-3.1_E+H_TT151_BOP2-TT-0024A.pdf</t>
  </si>
  <si>
    <t>- Inspection Certificate EN10204-3.1_E+H_TT151_BOP2-TT-0024B.pdf</t>
  </si>
  <si>
    <t>- Inspection Certificate EN10204-3.1_E+H_TT151_BOP2-TT-0024C.pdf</t>
  </si>
  <si>
    <t>- Inspection Certificate EN10204-3.1_E+H_TT151_BOP2-TT-0042.pdf</t>
  </si>
  <si>
    <t>- Inspection Certificate EN10204-3.1_E+H_TT151_BOP2-TT-0520A.pdf</t>
  </si>
  <si>
    <t>- Inspection Certificate EN10204-3.1_E+H_TT151_BOP2-TT-0520B.pdf</t>
  </si>
  <si>
    <t>- Inspection Certificate EN10204-3.1_E+H_TT151_BOP2-TT-9016A.pdf</t>
  </si>
  <si>
    <t>- Inspection Certificate EN10204-3.1_E+H_TT151_BOP2-TT-9016B.pdf</t>
  </si>
  <si>
    <t>- Inspection Certificate EN10204-3.1_E+H_TT151_BOP2-TT-9016C.pdf</t>
  </si>
  <si>
    <t>- Inspection Certificate EN10204-3.1_E+H_TT151_BOP2-TT-9017.pdf</t>
  </si>
  <si>
    <t>- Inspection Certificate EN10204-3.1_E+H_TT151_BOP2-TT-9041A.pdf</t>
  </si>
  <si>
    <t>- Inspection Certificate EN10204-3.1_E+H_TT151_BOP2-TT-9041B.pdf</t>
  </si>
  <si>
    <t>- Inspection Certificate EN10204-3.1_E+H_TT151_BOP2-TT-9045.pdf</t>
  </si>
  <si>
    <t>- Inspection Certificate EN10204-3.1_E+H_TT151_BOP2-TT-9048.pdf</t>
  </si>
  <si>
    <t>- Inspection Certificate EN10204-3.1_E+H_TT151_BOP2-TT-9049.pdf</t>
  </si>
  <si>
    <t>- Inspection Certificate EN10204-3.1_Emkometer_L11.pdf</t>
  </si>
  <si>
    <t>- Inspection Certificate EN10204-3.1_Introl GS-MFSP-N4N4.pdf</t>
  </si>
  <si>
    <t>- Inspection Certificate EN10204-3.1_Parker_8ET8-316.pdf</t>
  </si>
  <si>
    <t>- Inspection Certificate EN10204-3.1_Parker_8MSC8N-316.pdf</t>
  </si>
  <si>
    <t>- Inspection Certificate EN10204-3.1_Parker_8SC8-316.pdf</t>
  </si>
  <si>
    <t>- Inspection Certificate EN10204-3.1_Swagelok_316L-T8-S-049-6ME-S.pdf</t>
  </si>
  <si>
    <t>- Inspection Certificate EN10204-3.1_Swagelok_316L-T8-S-083-6ME-S.pdf</t>
  </si>
  <si>
    <t>- Inspection Certificate EN10204-3.1_VEGASWING61_BOP2-LS-9026.pdf</t>
  </si>
  <si>
    <t>- Adjustment protocol_ZPA Ekoreg_BOP2-PS-9053A.pdf</t>
  </si>
  <si>
    <t>- Calibration Certifcate_Ashcroft_1009S_BOP2-PG-9010.pdf</t>
  </si>
  <si>
    <t>- Calibration Certifcate_Ashcroft_1009S_BOP2-PI-9052-3.pdf</t>
  </si>
  <si>
    <t>- Calibration Certifcate_Ashcroft_1009S_BOP2-PI-9052-4.pdf</t>
  </si>
  <si>
    <t>- Calibration Certifcate_Ashcroft_1009S_BOP2-PI-9054.pdf</t>
  </si>
  <si>
    <t>- Calibration Certifcate_Ashcroft_1009S_BOP2-PI-9055.pdf</t>
  </si>
  <si>
    <t>- Calibration Certifcate_E+H_TMT82_BOP2-TT-0024A-U01.pdf</t>
  </si>
  <si>
    <t>- Calibration Certifcate_E+H_TMT82_BOP2-TT-0024B-U01.pdf</t>
  </si>
  <si>
    <t>- Calibration Certifcate_E+H_TMT82_BOP2-TT-0024C-U01.pdf</t>
  </si>
  <si>
    <t>- Calibration Certifcate_E+H_TMT82_BOP2-TT-0042-U01.pdf</t>
  </si>
  <si>
    <t>- Calibration Certificate_E+H_TM131_BOP2-TT-0520B.pdf</t>
  </si>
  <si>
    <t>- Calibration Certificate_E+H_TM131_BOP2-TT-9041A.pdf</t>
  </si>
  <si>
    <t>- Calibration Certificate_E+H_TM131_BOP2-TT-9041B.pdf</t>
  </si>
  <si>
    <t>- Calibration Certificate_E+H_TM131_BOP2-TT-9045.pdf</t>
  </si>
  <si>
    <t>- Calibration Certificate_E+H_TM131_BOP2-TT-9048.pdf</t>
  </si>
  <si>
    <t>- Calibration Certificate_E+H_TM131_BOP2-TT-9049.pdf</t>
  </si>
  <si>
    <t>- Calibration Certificate_E+H_TSC310_BOP2-TT-0024A.pdf</t>
  </si>
  <si>
    <t>- Calibration Certificate_E+H_TSC310_BOP2-TT-0024B.pdf</t>
  </si>
  <si>
    <t>- Calibration Certificate_E+H_TSC310_BOP2-TT-0024C.pdf</t>
  </si>
  <si>
    <t>- Calibration Certificate_E+H_TSC310_BOP2-TT-0042.pdf</t>
  </si>
  <si>
    <t>- Calibration Certifcate_E+H_TMT82_BOP2-TT-9003-U01.pdf</t>
  </si>
  <si>
    <t>- Calibration Certificate_E+H_TSC310_BOP2-TT-9003.pdf</t>
  </si>
  <si>
    <t>- Calibration Certificate_E+H_TSC310_BOP2-TT-9004A.pdf</t>
  </si>
  <si>
    <t>- Calibration Certificate_E+H_TSC310_BOP2-TT-9004B.pdf</t>
  </si>
  <si>
    <t>- Calibration Certificate_E+H_TSC310_BOP2-TT-9005A.pdf</t>
  </si>
  <si>
    <t>- Calibration Certificate_E+H_TSC310_BOP2-TT-9005B.pdf</t>
  </si>
  <si>
    <t>- Calibration Certificate_E+H_TSC310_BOP2-TT-9016A.pdf</t>
  </si>
  <si>
    <t>- Calibration Certificate_E+H_TSC310_BOP2-TT-9016B.pdf</t>
  </si>
  <si>
    <t>- Calibration Certificate_E+H_TSC310_BOP2-TT-9016C.pdf</t>
  </si>
  <si>
    <t>- Calibration Certificate_E+H_TSC310_BOP2-TT-9017.pdf</t>
  </si>
  <si>
    <t>- Calibration Certificate_Emkometer_BOP2-LT-9041A.pdf</t>
  </si>
  <si>
    <t>- Calibration Certifcate_E+H_TMT82_BOP2-TT-9004A-U01.pdf</t>
  </si>
  <si>
    <t>- Calibration Certificate_Emkometer_BOP2-LT-9041B.pdf</t>
  </si>
  <si>
    <t>- Calibration Certificate_Emkometer_BOP2-LT-9041C.pdf</t>
  </si>
  <si>
    <t>- Calibration Certificate_Emkometer_BOP2-LT-9041D.pdf</t>
  </si>
  <si>
    <t>- Calibration Certifcate_E+H_TMT82_BOP2-TT-9004B-U01.pdf</t>
  </si>
  <si>
    <t>- Calibration Certifcate_E+H_TMT82_BOP2-TT-9005A-U01.pdf</t>
  </si>
  <si>
    <t>- Calibration Certifcate_E+H_TMT82_BOP2-TT-9005B-U01.pdf</t>
  </si>
  <si>
    <t>- Calibration Certifcate_E+H_TMT82_BOP2-TT-9015-U01.pdf</t>
  </si>
  <si>
    <t>80.</t>
  </si>
  <si>
    <t>81.</t>
  </si>
  <si>
    <t>82.</t>
  </si>
  <si>
    <t>83.</t>
  </si>
  <si>
    <t>84.</t>
  </si>
  <si>
    <t>85.</t>
  </si>
  <si>
    <t>86.</t>
  </si>
  <si>
    <t>87.</t>
  </si>
  <si>
    <t>- Calibration Certifcate_E+H_TMT82_BOP2-TT-9016A-U01.pdf</t>
  </si>
  <si>
    <t>88.</t>
  </si>
  <si>
    <t>89.</t>
  </si>
  <si>
    <t>90.</t>
  </si>
  <si>
    <t>91.</t>
  </si>
  <si>
    <t>92.</t>
  </si>
  <si>
    <t>93.</t>
  </si>
  <si>
    <t>94.</t>
  </si>
  <si>
    <t>95.</t>
  </si>
  <si>
    <t>96.</t>
  </si>
  <si>
    <t>97.</t>
  </si>
  <si>
    <t>98.</t>
  </si>
  <si>
    <t>- Calibration Certifcate_E+H_TMT82_BOP2-TT-9016B-U01.pdf</t>
  </si>
  <si>
    <t>99.</t>
  </si>
  <si>
    <t>100.</t>
  </si>
  <si>
    <t>101.</t>
  </si>
  <si>
    <t>102.</t>
  </si>
  <si>
    <t>103.</t>
  </si>
  <si>
    <t>104.</t>
  </si>
  <si>
    <t>105.</t>
  </si>
  <si>
    <t>106.</t>
  </si>
  <si>
    <t>107.</t>
  </si>
  <si>
    <t>108.</t>
  </si>
  <si>
    <t>109.</t>
  </si>
  <si>
    <t>- Calibration Certifcate_E+H_TMT82_BOP2-TT-9016C-U01.pdf</t>
  </si>
  <si>
    <t>110.</t>
  </si>
  <si>
    <t>111.</t>
  </si>
  <si>
    <t>112.</t>
  </si>
  <si>
    <t>113.</t>
  </si>
  <si>
    <t>114.</t>
  </si>
  <si>
    <t>115.</t>
  </si>
  <si>
    <t>116.</t>
  </si>
  <si>
    <t>117.</t>
  </si>
  <si>
    <t>118.</t>
  </si>
  <si>
    <t>119.</t>
  </si>
  <si>
    <t>120.</t>
  </si>
  <si>
    <t>- Calibration Certifcate_E+H_TMT82_BOP2-TT-9017-U01.pdf</t>
  </si>
  <si>
    <t>121.</t>
  </si>
  <si>
    <t>122.</t>
  </si>
  <si>
    <t>- Calibration Certifcate_E+H_TMT82_BOP2-TT-9030A-U01.pdf</t>
  </si>
  <si>
    <t>- Calibration Certifcate_E+H_TMT82_BOP2-TT-9030A-U02.pdf</t>
  </si>
  <si>
    <t>- Calibration Certifcate_E+H_TMT82_BOP2-TT-9030B-U01.pdf</t>
  </si>
  <si>
    <t>- Calibration Certifcate_E+H_TMT82_BOP2-TT-9030B-U02.pdf</t>
  </si>
  <si>
    <t>- Calibration Certifcate_E+H_TMT82_BOP2-TT-9030C-U01.pdf</t>
  </si>
  <si>
    <t>- Calibration Certifcate_E+H_TMT82_BOP2-TT-9030C-U02.pdf</t>
  </si>
  <si>
    <t>- Calibration Certifcate_E+H_TMT82_BOP2-TT-9030D-U01.pdf</t>
  </si>
  <si>
    <t>- Calibration Certifcate_E+H_TMT82_BOP2-TT-9030D-U02.pdf</t>
  </si>
  <si>
    <t>- Calibration Certifcate_E+H_TMT82_BOP2-TT-9031A-U01.pdf</t>
  </si>
  <si>
    <t>- Calibration Certifcate_E+H_TMT82_BOP2-TT-9031A-U02.pdf</t>
  </si>
  <si>
    <t>- Calibration Certifcate_E+H_TMT82_BOP2-TT-9031B-U01.pdf</t>
  </si>
  <si>
    <t>- Calibration Certifcate_E+H_TMT82_BOP2-TT-9031B-U02.pdf</t>
  </si>
  <si>
    <t>- Calibration Certifcate_E+H_TMT82_BOP2-TT-9031C-U01.pdf</t>
  </si>
  <si>
    <t>- Calibration Certifcate_E+H_TMT82_BOP2-TT-9031C-U02.pdf</t>
  </si>
  <si>
    <t>- Calibration Certifcate_E+H_TMT82_BOP2-TT-9031D-U01.pdf</t>
  </si>
  <si>
    <t>- Calibration Certifcate_E+H_TMT82_BOP2-TT-9031D-U02.pdf</t>
  </si>
  <si>
    <t>- Calibration Certifcate_E+H_TMT82_BOP2-TT-9032A-U01.pdf</t>
  </si>
  <si>
    <t>- Calibration Certifcate_E+H_TMT82_BOP2-TT-9032A-U02.pdf</t>
  </si>
  <si>
    <t>- Calibration Certifcate_E+H_TMT82_BOP2-TT-9032B-U01.pdf</t>
  </si>
  <si>
    <t>- Calibration Certifcate_E+H_TMT82_BOP2-TT-9032B-U02.pdf</t>
  </si>
  <si>
    <t>- Calibration Certifcate_E+H_TMT82_BOP2-TT-9032C-U01.pdf</t>
  </si>
  <si>
    <t>- Calibration Certifcate_E+H_TMT82_BOP2-TT-9032C-U02.pdf</t>
  </si>
  <si>
    <t>- Calibration Certifcate_E+H_TMT82_BOP2-TT-9032D-U01.pdf</t>
  </si>
  <si>
    <t>- Calibration Certifcate_E+H_TMT82_BOP2-TT-9032D-U02.pdf</t>
  </si>
  <si>
    <t>- Calibration Certifcate_E+H_TMT82_BOP2-TT-9033A-U01.pdf</t>
  </si>
  <si>
    <t>- Calibration Certifcate_E+H_TMT82_BOP2-TT-9033A-U02.pdf</t>
  </si>
  <si>
    <t>- Calibration Certifcate_E+H_TMT82_BOP2-TT-9033B-U01.pdf</t>
  </si>
  <si>
    <t>- Calibration Certifcate_E+H_TMT82_BOP2-TT-9033B-U02.pdf</t>
  </si>
  <si>
    <t>- Calibration Certifcate_E+H_TMT82_BOP2-TT-9034A-U01.pdf</t>
  </si>
  <si>
    <t>- Calibration Certifcate_E+H_TMT82_BOP2-TT-9034A-U02.pdf</t>
  </si>
  <si>
    <t>- Calibration Certifcate_E+H_TMT82_BOP2-TT-9034B-U01.pdf</t>
  </si>
  <si>
    <t>- Calibration Certifcate_E+H_TMT82_BOP2-TT-9034B-U02.pdf</t>
  </si>
  <si>
    <t>- Calibration Certifcate_E+H_TMT82_BOP2-TT-9035A-U01.pdf</t>
  </si>
  <si>
    <t>- Calibration Certifcate_E+H_TMT82_BOP2-TT-9035A-U02.pdf</t>
  </si>
  <si>
    <t>- Calibration Certifcate_E+H_TMT82_BOP2-TT-9035B-U01.pdf</t>
  </si>
  <si>
    <t>- Calibration Certifcate_E+H_TMT82_BOP2-TT-9035B-U02.pdf</t>
  </si>
  <si>
    <t>- Calibration Certifcate_E+H_TMT82_BOP2-TT-9036A-U01.pdf</t>
  </si>
  <si>
    <t>- Calibration Certifcate_E+H_TMT82_BOP2-TT-9036A-U02.pdf</t>
  </si>
  <si>
    <t>- Calibration Certifcate_E+H_TMT82_BOP2-TT-9036B-U01.pdf</t>
  </si>
  <si>
    <t>- Calibration Certifcate_E+H_TMT82_BOP2-TT-9036B-U02.pdf</t>
  </si>
  <si>
    <t>- Calibration Certifcate_E+H_TMT82_BOP2-TT-9081-U01.pdf</t>
  </si>
  <si>
    <t>- Calibration Certifcate_E+H_TMT82_BOP2-TT-9082-U01.pdf</t>
  </si>
  <si>
    <t>- Calibration Certifcate_E+H_TMT82_BOP2-TT-9083-U01.pdf</t>
  </si>
  <si>
    <t>- Calibration Certifcate_E+H_TMT82_BOP2-TT-9085-U01.pdf</t>
  </si>
  <si>
    <t>- Calibration Certifcate_E+H_TMT82_BOP2-TT-9086-U01.pdf</t>
  </si>
  <si>
    <t>- Calibration Certifcate_E+H_TMT82_BOP2-TT-9087-U01.pdf</t>
  </si>
  <si>
    <t>- Calibration Certifcate_E+H_TMT82_BOP2-TT-9089-U01.pdf</t>
  </si>
  <si>
    <t>- Calibration Certifcate_E+H_TMT82_BOP2-TT-9090-U01.pdf</t>
  </si>
  <si>
    <t>- Calibration Certifcate_E+H_TMT82_BOP2-TT-9091-U01.pdf</t>
  </si>
  <si>
    <t>- Calibration Certifcate_E+H_TMT82_BOP2-TT-9093-U01.pdf</t>
  </si>
  <si>
    <t>- Calibration Certifcate_E+H_TMT82_BOP2-TT-9093-U02.pdf</t>
  </si>
  <si>
    <t>- Calibration Certifcate_E+H_TMT82_BOP2-TT-9094-U01.pdf</t>
  </si>
  <si>
    <t>- Calibration Certifcate_E+H_TMT82_BOP2-TT-9095-U01.pdf</t>
  </si>
  <si>
    <t>- Calibration Certifcate_E+H_TMT82_BOP2-TT-9095-U02.pdf</t>
  </si>
  <si>
    <t>- Calibration Certifcate_E+H_TMT82_BOP2-TT-9096-U01.pdf</t>
  </si>
  <si>
    <t>- Calibration Certifcate_E+H_TMT82_BOP2-TT-9097.pdf</t>
  </si>
  <si>
    <t>- Calibration Certifcate_E+H_TMT82_BOP2-TT-9098.pdf</t>
  </si>
  <si>
    <t>- Calibration Certifcate_E+H_TMT82_BOP2-TT-9101-U01.pdf</t>
  </si>
  <si>
    <t>- Calibration Certifcate_E+H_TMT82_BOP2-TT-9101-U02.pdf</t>
  </si>
  <si>
    <t>- Calibration Certifcate_E+H_TMT82_BOP2-TT-9101-U03.pdf</t>
  </si>
  <si>
    <t>- Calibration Certifcate_E+H_TMT82_BOP2-TT-9102-U01.pdf</t>
  </si>
  <si>
    <t>- Calibration Certifcate_E+H_TMT82_BOP2-TT-9102-U02.pdf</t>
  </si>
  <si>
    <t>- Calibration Certifcate_E+H_TMT82_BOP2-TT-9102-U03.pdf</t>
  </si>
  <si>
    <t>- Calibration Certificate_E+H_PMC51B_BOP2-PIT-9070.pdf</t>
  </si>
  <si>
    <t>- Calibration Certificate_E+H_PMD55B_BOP2-FY-0020.pdf</t>
  </si>
  <si>
    <t>- Calibration Certificate_E+H_PMP51B_BOP2-PIT-0023A.pdf</t>
  </si>
  <si>
    <t>- Calibration Certificate_E+H_PMP51B_BOP2-PIT-0023B.pdf</t>
  </si>
  <si>
    <t>- Calibration Certificate_E+H_PMP51B_BOP2-PIT-0023C.pdf</t>
  </si>
  <si>
    <t>- Calibration Certificate_E+H_PMP51B_BOP2-PIT-0400A.pdf</t>
  </si>
  <si>
    <t>- Calibration Certificate_E+H_PMP51B_BOP2-PIT-0400B.pdf</t>
  </si>
  <si>
    <t>- Calibration Certificate_E+H_PMP51B_BOP2-PIT-4594.pdf</t>
  </si>
  <si>
    <t>- Calibration Certificate_E+H_PMP51B_BOP2-PIT-9001.pdf</t>
  </si>
  <si>
    <t>- Calibration Certificate_E+H_PMP51B_BOP2-PIT-9014.pdf</t>
  </si>
  <si>
    <t>- Calibration Certificate_E+H_PMP51B_BOP2-PIT-9017.pdf</t>
  </si>
  <si>
    <t>- Calibration Certificate_E+H_PMP51B_BOP2-PIT-9041.pdf</t>
  </si>
  <si>
    <t>- Calibration Certificate_E+H_PMP51B_BOP2-PIT-9053B.pdf</t>
  </si>
  <si>
    <t>- Calibration Certificate_E+H_PMP51B_BOP2-PIT-9053C.pdf</t>
  </si>
  <si>
    <t>- Calibration Certificate_E+H_PMP51B_BOP2-PIT-9053D.pdf</t>
  </si>
  <si>
    <t>- Calibration Certificate_E+H_TM131_BOP2-TT-0520A.pdf</t>
  </si>
  <si>
    <t>- Pressure Test_Emkometer_BOP2-LT-9041A.pdf</t>
  </si>
  <si>
    <t>- Pressure Test_Emkometer_BOP2-LT-9041B.pdf</t>
  </si>
  <si>
    <t>- Pressure Test_Emkometer_BOP2-LT-9041C.pdf</t>
  </si>
  <si>
    <t>- Pressure Test_Emkometer_BOP2-LT-9041D.pdf</t>
  </si>
  <si>
    <t>- Test Report_E+H_FTL41_BOP2-LS-9027.pdf</t>
  </si>
  <si>
    <t>- Test Report_E+H_FTL41_BOP2-LS-9029.pdf</t>
  </si>
  <si>
    <t>- Test Report_E+H_FTL41_BOP2-LS-9041.pdf</t>
  </si>
  <si>
    <t>- Test Report_E+H_PTP31B_BOP2-PS-9043.pdf</t>
  </si>
  <si>
    <t>- Test Report_E+H_PTP31B_BOP2-PS-9044.pdf</t>
  </si>
  <si>
    <t>- Test Report_LAKE CABLE_TXC162SPOS.pdf</t>
  </si>
  <si>
    <t>- Test Record_INTERSOFT_Junction_Boxes.pdf</t>
  </si>
  <si>
    <t>- EU Declaration of Conformity_Kopos.pdf</t>
  </si>
  <si>
    <t>- Certificate of quality and completeness of the product_ZPA_966.pdf</t>
  </si>
  <si>
    <t>- Certificate of Compliance_Beta_BOP2-PS-0402A.pdf</t>
  </si>
  <si>
    <t>- Certificate of Compliance_Beta_BOP2-PS-0402B.pdf</t>
  </si>
  <si>
    <t>- Certificate of Compliance_Beta_BOP2-PS-0402C.pdf</t>
  </si>
  <si>
    <t>- QAP1202-B-VII-B-FI+C-Field Instrumentation and Cabling_signed.pdf</t>
  </si>
  <si>
    <t>- D241234401 FAT (FI and Cabling)_signed.pdf</t>
  </si>
  <si>
    <t>font_size</t>
  </si>
  <si>
    <t>Možnost změny velikosti fontu</t>
  </si>
  <si>
    <t>rotovat soubory</t>
  </si>
  <si>
    <t>transparentní rámeček</t>
  </si>
  <si>
    <t>Možnost transparentního rámečku</t>
  </si>
  <si>
    <t>PS</t>
  </si>
  <si>
    <t>adr</t>
  </si>
  <si>
    <t>Automatická přizpůsobení velikosti textu pro vkládání do PDF</t>
  </si>
  <si>
    <t>D:\00_Inbox\PDF\P77 Dokumentace kvality\01_LO2-TG3\Zdroj_FI\</t>
  </si>
  <si>
    <t>D:\00_Inbox\PDF\P77 Dokumentace kvality\01_LO2-TG3\Zdroj_FI\1 (EU) Declaration of Conformity + Certificate of Compliance\1.1 Manufacturer's (EU) Declaration of conformity - Certificate of compliance (Complete delivery)\Autel Declaration of Conformity.pdf</t>
  </si>
  <si>
    <t>Autel Declaration of Conformity.pdf</t>
  </si>
  <si>
    <t>D:\00_Inbox\PDF\P77 Dokumentace kvality\01_LO2-TG3\Zdroj_FI\1 (EU) Declaration of Conformity + Certificate of Compliance\1.2 Sub-supplier 's (EU) Declaration of conformity - purchased Components in delivery\EU Declaration of Conformity_AGRO.pdf</t>
  </si>
  <si>
    <t>EU Declaration of Conformity_AGRO.pdf</t>
  </si>
  <si>
    <t>D:\00_Inbox\PDF\P77 Dokumentace kvality\01_LO2-TG3\Zdroj_FI\1 (EU) Declaration of Conformity + Certificate of Compliance\1.2 Sub-supplier 's (EU) Declaration of conformity - purchased Components in delivery\EU Declaration of Conformity_CICM.pdf</t>
  </si>
  <si>
    <t>EU Declaration of Conformity_CICM.pdf</t>
  </si>
  <si>
    <t>D:\00_Inbox\PDF\P77 Dokumentace kvality\01_LO2-TG3\Zdroj_FI\1 (EU) Declaration of Conformity + Certificate of Compliance\1.2 Sub-supplier 's (EU) Declaration of conformity - purchased Components in delivery\EU Declaration of Conformity_JSP_T1070.pdf</t>
  </si>
  <si>
    <t>EU Declaration of Conformity_JSP_T1070.pdf</t>
  </si>
  <si>
    <t>D:\00_Inbox\PDF\P77 Dokumentace kvality\01_LO2-TG3\Zdroj_FI\1 (EU) Declaration of Conformity + Certificate of Compliance\1.2 Sub-supplier 's (EU) Declaration of conformity - purchased Components in delivery\EU Declaration of Conformity_JSP_WT70.pdf</t>
  </si>
  <si>
    <t>EU Declaration of Conformity_JSP_WT70.pdf</t>
  </si>
  <si>
    <t>D:\00_Inbox\PDF\P77 Dokumentace kvality\01_LO2-TG3\Zdroj_FI\1 (EU) Declaration of Conformity + Certificate of Compliance\1.2 Sub-supplier 's (EU) Declaration of conformity - purchased Components in delivery\EU Declaration of Conformity_Kopos.pdf</t>
  </si>
  <si>
    <t>EU Declaration of Conformity_Kopos.pdf</t>
  </si>
  <si>
    <t>D:\00_Inbox\PDF\P77 Dokumentace kvality\01_LO2-TG3\Zdroj_FI\2 Quality Assurance Program (Inspection and Test Program)\QAP1282-B-V-FI_signed.pdf</t>
  </si>
  <si>
    <t>QAP1282-B-V-FI_signed.pdf</t>
  </si>
  <si>
    <t>D:\00_Inbox\PDF\P77 Dokumentace kvality\01_LO2-TG3\Zdroj_FI\3 Materials and Component's materials Certificates\3.1 List of materials and components refered to certificates\List of material.pdf</t>
  </si>
  <si>
    <t>List of material.pdf</t>
  </si>
  <si>
    <t>D:\00_Inbox\PDF\P77 Dokumentace kvality\01_LO2-TG3\Zdroj_FI\3 Materials and Component's materials Certificates\3.2 Materials and Component's Material Certificates\Inspection Certificate EN10204-3.1_JSP_WT70.pdf</t>
  </si>
  <si>
    <t>Inspection Certificate EN10204-3.1_JSP_WT70.pdf</t>
  </si>
  <si>
    <t>D:\00_Inbox\PDF\P77 Dokumentace kvality\01_LO2-TG3\Zdroj_FI\3 Materials and Component's materials Certificates\3.3 Delivered Equipment Calibration Certificates\Calibration Protocol_JSP_20SA20T0001_T1070.pdf</t>
  </si>
  <si>
    <t>Calibration Protocol_JSP_20SA20T0001_T1070.pdf</t>
  </si>
  <si>
    <t>D:\00_Inbox\PDF\P77 Dokumentace kvality\01_LO2-TG3\Zdroj_FI\3 Materials and Component's materials Certificates\3.3 Delivered Equipment Calibration Certificates\Calibration Protocol_JSP_20SA20T0002_T1070.pdf</t>
  </si>
  <si>
    <t>Calibration Protocol_JSP_20SA20T0002_T1070.pdf</t>
  </si>
  <si>
    <t>D:\00_Inbox\PDF\P77 Dokumentace kvality\01_LO2-TG3\Zdroj_FI\3 Materials and Component's materials Certificates\3.3 Delivered Equipment Calibration Certificates\Calibration Protocol_JSP_20SA20T0003_T1070.pdf</t>
  </si>
  <si>
    <t>Calibration Protocol_JSP_20SA20T0003_T1070.pdf</t>
  </si>
  <si>
    <t>D:\00_Inbox\PDF\P77 Dokumentace kvality\01_LO2-TG3\Zdroj_FI\3 Materials and Component's materials Certificates\3.3 Delivered Equipment Calibration Certificates\Calibration Protocol_JSP_20SA20T0004_T1070.pdf</t>
  </si>
  <si>
    <t>Calibration Protocol_JSP_20SA20T0004_T1070.pdf</t>
  </si>
  <si>
    <t>D:\00_Inbox\PDF\P77 Dokumentace kvality\01_LO2-TG3\Zdroj_FI\3 Materials and Component's materials Certificates\3.3 Delivered Equipment Calibration Certificates\Calibration Protocol_JSP_20SA30T0001_T1070.pdf</t>
  </si>
  <si>
    <t>Calibration Protocol_JSP_20SA30T0001_T1070.pdf</t>
  </si>
  <si>
    <t>D:\00_Inbox\PDF\P77 Dokumentace kvality\01_LO2-TG3\Zdroj_FI\3 Materials and Component's materials Certificates\3.3 Delivered Equipment Calibration Certificates\Calibration Protocol_JSP_20SA30T0002_T1070.pdf</t>
  </si>
  <si>
    <t>Calibration Protocol_JSP_20SA30T0002_T1070.pdf</t>
  </si>
  <si>
    <t>D:\00_Inbox\PDF\P77 Dokumentace kvality\01_LO2-TG3\Zdroj_FI\3 Materials and Component's materials Certificates\3.3 Delivered Equipment Calibration Certificates\Calibration Protocol_JSP_20SA30T0003_T1070.pdf</t>
  </si>
  <si>
    <t>Calibration Protocol_JSP_20SA30T0003_T1070.pdf</t>
  </si>
  <si>
    <t>D:\00_Inbox\PDF\P77 Dokumentace kvality\01_LO2-TG3\Zdroj_FI\3 Materials and Component's materials Certificates\3.3 Delivered Equipment Calibration Certificates\Calibration Protocol_JSP_20SA30T0004_T1070.pdf</t>
  </si>
  <si>
    <t>Calibration Protocol_JSP_20SA30T0004_T1070.pdf</t>
  </si>
  <si>
    <t>D:\00_Inbox\PDF\P77 Dokumentace kvality\01_LO2-TG3\Zdroj_FI\4 Manufacturing Reports\4.1 Internal manufacturing test\D251124401_FAT_FI_LO2_TG3.pdf</t>
  </si>
  <si>
    <t>D251124401_FAT_FI_LO2_TG3.pdf</t>
  </si>
  <si>
    <t>D:\00_Inbox\PDF\P77 Dokumentace kvality\01_LO2-TG3\Zdroj_FI\4 Manufacturing Reports\4.2 Specific manufacturing Reports\Test report_CICM_JC5XFE-R_2x2x1_UV_Black.pdf</t>
  </si>
  <si>
    <t>Test report_CICM_JC5XFE-R_2x2x1_UV_Black.pdf</t>
  </si>
  <si>
    <t>D:\00_Inbox\PDF\Cíl\</t>
  </si>
  <si>
    <t>Aktualizace funkce pro zapist text. 
Funguje velikost fontu
Funguje transparentní rámeček</t>
  </si>
  <si>
    <t>Autor změny</t>
  </si>
  <si>
    <t>KBK</t>
  </si>
  <si>
    <t>- EU Declaration of Conformity_CICM.pdf</t>
  </si>
  <si>
    <t>- EU Declaration of Conformity_JSP_T1070.pdf</t>
  </si>
  <si>
    <t>- EU Declaration of Conformity_JSP_WT70.pdf</t>
  </si>
  <si>
    <t>- QAP1282-B-V-FI_signed.pdf</t>
  </si>
  <si>
    <t>- Inspection Certificate EN10204-3.1_JSP_WT70.pdf</t>
  </si>
  <si>
    <t>- Calibration Protocol_JSP_20SA20T0001_T1070.pdf</t>
  </si>
  <si>
    <t>- Calibration Protocol_JSP_20SA20T0002_T1070.pdf</t>
  </si>
  <si>
    <t>- Calibration Protocol_JSP_20SA20T0003_T1070.pdf</t>
  </si>
  <si>
    <t>- Calibration Protocol_JSP_20SA20T0004_T1070.pdf</t>
  </si>
  <si>
    <t>- Calibration Protocol_JSP_20SA30T0001_T1070.pdf</t>
  </si>
  <si>
    <t>- Calibration Protocol_JSP_20SA30T0002_T1070.pdf</t>
  </si>
  <si>
    <t>- Calibration Protocol_JSP_20SA30T0003_T1070.pdf</t>
  </si>
  <si>
    <t>- Calibration Protocol_JSP_20SA30T0004_T1070.pdf</t>
  </si>
  <si>
    <t>- D251124401_FAT_FI_LO2_TG3.pdf</t>
  </si>
  <si>
    <t>- Test report_CICM_JC5XFE-R_2x2x1_UV_Black.pdf</t>
  </si>
  <si>
    <t>- Autel Declaration of Conformity.pdf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</si>
</sst>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quotePrefix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" fontId="7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49" fontId="0" fillId="3" borderId="0" xfId="0" applyNumberFormat="1" applyFill="1"/>
    <xf numFmtId="49" fontId="0" fillId="4" borderId="0" xfId="0" applyNumberFormat="1" applyFill="1"/>
    <xf numFmtId="0" fontId="0" fillId="0" borderId="0" xfId="0" applyAlignment="1">
      <alignment horizontal="left"/>
    </xf>
  </cellXfs>
  <cellStyles count="1">
    <cellStyle name="Normální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114300</xdr:rowOff>
        </xdr:from>
        <xdr:to>
          <xdr:col>10</xdr:col>
          <xdr:colOff>523875</xdr:colOff>
          <xdr:row>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19050</xdr:rowOff>
        </xdr:from>
        <xdr:to>
          <xdr:col>9</xdr:col>
          <xdr:colOff>704850</xdr:colOff>
          <xdr:row>4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Načti obsah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3168-DD46-46A2-A040-7E8669B6A481}">
  <sheetPr codeName="List1">
    <tabColor theme="9"/>
  </sheetPr>
  <dimension ref="A1:O268"/>
  <sheetViews>
    <sheetView zoomScaleNormal="100" workbookViewId="0">
      <pane ySplit="1" topLeftCell="A2" activePane="bottomLeft" state="frozen"/>
      <selection pane="bottomLeft" activeCell="B14" sqref="B14"/>
    </sheetView>
  </sheetViews>
  <sheetFormatPr defaultRowHeight="15" x14ac:dyDescent="0.25"/>
  <cols>
    <col min="1" max="1" width="11.28515625" bestFit="1" customWidth="1"/>
    <col min="2" max="2" width="172" customWidth="1"/>
    <col min="3" max="3" width="60.5703125" customWidth="1"/>
    <col min="4" max="4" width="8.28515625" bestFit="1" customWidth="1"/>
    <col min="5" max="5" width="7.85546875" bestFit="1" customWidth="1"/>
    <col min="6" max="6" width="52.5703125" bestFit="1" customWidth="1"/>
    <col min="7" max="7" width="18" bestFit="1" customWidth="1"/>
    <col min="8" max="8" width="19.7109375" bestFit="1" customWidth="1"/>
    <col min="9" max="9" width="8.85546875" bestFit="1" customWidth="1"/>
    <col min="12" max="12" width="178.28515625" bestFit="1" customWidth="1"/>
    <col min="13" max="13" width="55.28515625" bestFit="1" customWidth="1"/>
    <col min="14" max="14" width="107.140625" bestFit="1" customWidth="1"/>
    <col min="15" max="15" width="4" bestFit="1" customWidth="1"/>
    <col min="16" max="16" width="6.5703125" bestFit="1" customWidth="1"/>
  </cols>
  <sheetData>
    <row r="1" spans="1:15" ht="30" x14ac:dyDescent="0.25">
      <c r="A1" s="5" t="s">
        <v>5</v>
      </c>
      <c r="B1" t="s">
        <v>0</v>
      </c>
      <c r="C1" t="s">
        <v>1</v>
      </c>
      <c r="D1" s="1" t="s">
        <v>2</v>
      </c>
      <c r="E1" s="1" t="s">
        <v>3</v>
      </c>
      <c r="F1" t="s">
        <v>19</v>
      </c>
      <c r="G1" s="1" t="s">
        <v>4</v>
      </c>
      <c r="H1" s="1" t="s">
        <v>17</v>
      </c>
      <c r="I1" t="s">
        <v>18</v>
      </c>
      <c r="M1" t="s">
        <v>373</v>
      </c>
      <c r="N1" t="s">
        <v>374</v>
      </c>
    </row>
    <row r="2" spans="1:15" x14ac:dyDescent="0.25">
      <c r="A2" t="str">
        <f ca="1">G2</f>
        <v>1.1.01</v>
      </c>
      <c r="B2" t="s">
        <v>377</v>
      </c>
      <c r="C2" t="s">
        <v>378</v>
      </c>
      <c r="D2">
        <v>1</v>
      </c>
      <c r="E2" s="1" t="s">
        <v>22</v>
      </c>
      <c r="F2" t="str">
        <f t="shared" ref="F2" ca="1" si="0">IF(OR(ISERR(SEARCH(".pdf",C2,1)),ISBLANK(G2)),C2,_xlfn.CONCAT(A2," - ",C2))</f>
        <v>1.1.01 - Autel Declaration of Conformity.pdf</v>
      </c>
      <c r="G2" t="str">
        <f t="shared" ref="G2" ca="1" si="1">_xlfn.CONCAT(H2,".",I2)</f>
        <v>1.1.01</v>
      </c>
      <c r="H2" t="str" cm="1">
        <f t="array" aca="1" ref="H2" ca="1">IF(ISERR(SEARCH(".pdf",C2,1)),"",FolderNumber(B2))</f>
        <v>1.1</v>
      </c>
      <c r="I2" t="str">
        <f ca="1">IF(COUNTIF($H$2:H2,H2)&gt;99,COUNTIF($H$2:H2,H2), IF(COUNTIF($H$2:H2,H2)&lt;10,_xlfn.CONCAT("0",TEXT(COUNTIF($H$2:H2,H2),0)),_xlfn.CONCAT("",TEXT(COUNTIF($H$2:H2,H2),0))))</f>
        <v>01</v>
      </c>
      <c r="L2" t="str">
        <f>RIGHT(B2,LEN(B2)-LEN(Zdroj))</f>
        <v>1 (EU) Declaration of Conformity + Certificate of Compliance\1.1 Manufacturer's (EU) Declaration of conformity - Certificate of compliance (Complete delivery)\Autel Declaration of Conformity.pdf</v>
      </c>
      <c r="M2" t="str">
        <f>LEFT(L2,SEARCH("\",L2,1)-1)</f>
        <v>1 (EU) Declaration of Conformity + Certificate of Compliance</v>
      </c>
      <c r="N2" t="e">
        <f>_xlfn.CONCAT("_",MID(L2,LEN(M2)+2,SEARCH("_",L2,LEN(M2))-(LEN(M2)+2)))</f>
        <v>#VALUE!</v>
      </c>
      <c r="O2" t="str">
        <f ca="1">_xlfn.CONCAT("_",I2)</f>
        <v>_01</v>
      </c>
    </row>
    <row r="3" spans="1:15" x14ac:dyDescent="0.25">
      <c r="A3" t="str">
        <f t="shared" ref="A3:A20" ca="1" si="2">G3</f>
        <v>1.2.01</v>
      </c>
      <c r="B3" t="s">
        <v>379</v>
      </c>
      <c r="C3" t="s">
        <v>380</v>
      </c>
      <c r="D3">
        <v>1</v>
      </c>
      <c r="E3" s="1" t="s">
        <v>22</v>
      </c>
      <c r="F3" t="str">
        <f t="shared" ref="F3:F20" ca="1" si="3">IF(OR(ISERR(SEARCH(".pdf",C3,1)),ISBLANK(G3)),C3,_xlfn.CONCAT(A3," - ",C3))</f>
        <v>1.2.01 - EU Declaration of Conformity_AGRO.pdf</v>
      </c>
      <c r="G3" t="str">
        <f t="shared" ref="G3:G20" ca="1" si="4">_xlfn.CONCAT(H3,".",I3)</f>
        <v>1.2.01</v>
      </c>
      <c r="H3" t="str" cm="1">
        <f t="array" aca="1" ref="H3" ca="1">IF(ISERR(SEARCH(".pdf",C3,1)),"",FolderNumber(B3))</f>
        <v>1.2</v>
      </c>
      <c r="I3" t="str">
        <f ca="1">IF(COUNTIF($H$2:H3,H3)&gt;99,COUNTIF($H$2:H3,H3), IF(COUNTIF($H$2:H3,H3)&lt;10,_xlfn.CONCAT("0",TEXT(COUNTIF($H$2:H3,H3),0)),_xlfn.CONCAT("",TEXT(COUNTIF($H$2:H3,H3),0))))</f>
        <v>01</v>
      </c>
      <c r="L3" t="str">
        <f>RIGHT(B3,LEN(B3)-LEN(Zdroj))</f>
        <v>1 (EU) Declaration of Conformity + Certificate of Compliance\1.2 Sub-supplier 's (EU) Declaration of conformity - purchased Components in delivery\EU Declaration of Conformity_AGRO.pdf</v>
      </c>
      <c r="M3" t="str">
        <f>LEFT(L3,SEARCH("\",L3,1)-1)</f>
        <v>1 (EU) Declaration of Conformity + Certificate of Compliance</v>
      </c>
      <c r="N3" t="str">
        <f>_xlfn.CONCAT("_",MID(L3,LEN(M3)+2,SEARCH("_",L3,LEN(M3))-(LEN(M3)+2)))</f>
        <v>_1.2 Sub-supplier 's (EU) Declaration of conformity - purchased Components in delivery\EU Declaration of Conformity</v>
      </c>
      <c r="O3" t="str">
        <f ca="1">_xlfn.CONCAT("_",I3)</f>
        <v>_01</v>
      </c>
    </row>
    <row r="4" spans="1:15" x14ac:dyDescent="0.25">
      <c r="A4" t="str">
        <f t="shared" ca="1" si="2"/>
        <v>1.2.02</v>
      </c>
      <c r="B4" t="s">
        <v>381</v>
      </c>
      <c r="C4" t="s">
        <v>382</v>
      </c>
      <c r="D4">
        <v>1</v>
      </c>
      <c r="E4" s="1" t="s">
        <v>22</v>
      </c>
      <c r="F4" t="str">
        <f t="shared" ca="1" si="3"/>
        <v>1.2.02 - EU Declaration of Conformity_CICM.pdf</v>
      </c>
      <c r="G4" t="str">
        <f t="shared" ca="1" si="4"/>
        <v>1.2.02</v>
      </c>
      <c r="H4" t="str" cm="1">
        <f t="array" aca="1" ref="H4" ca="1">IF(ISERR(SEARCH(".pdf",C4,1)),"",FolderNumber(B4))</f>
        <v>1.2</v>
      </c>
      <c r="I4" t="str">
        <f ca="1">IF(COUNTIF($H$2:H4,H4)&gt;99,COUNTIF($H$2:H4,H4), IF(COUNTIF($H$2:H4,H4)&lt;10,_xlfn.CONCAT("0",TEXT(COUNTIF($H$2:H4,H4),0)),_xlfn.CONCAT("",TEXT(COUNTIF($H$2:H4,H4),0))))</f>
        <v>02</v>
      </c>
    </row>
    <row r="5" spans="1:15" x14ac:dyDescent="0.25">
      <c r="A5" t="str">
        <f t="shared" ca="1" si="2"/>
        <v>1.2.03</v>
      </c>
      <c r="B5" t="s">
        <v>383</v>
      </c>
      <c r="C5" t="s">
        <v>384</v>
      </c>
      <c r="D5">
        <v>1</v>
      </c>
      <c r="E5" s="1" t="s">
        <v>22</v>
      </c>
      <c r="F5" t="str">
        <f t="shared" ca="1" si="3"/>
        <v>1.2.03 - EU Declaration of Conformity_JSP_T1070.pdf</v>
      </c>
      <c r="G5" t="str">
        <f t="shared" ca="1" si="4"/>
        <v>1.2.03</v>
      </c>
      <c r="H5" t="str" cm="1">
        <f t="array" aca="1" ref="H5" ca="1">IF(ISERR(SEARCH(".pdf",C5,1)),"",FolderNumber(B5))</f>
        <v>1.2</v>
      </c>
      <c r="I5" t="str">
        <f ca="1">IF(COUNTIF($H$2:H5,H5)&gt;99,COUNTIF($H$2:H5,H5), IF(COUNTIF($H$2:H5,H5)&lt;10,_xlfn.CONCAT("0",TEXT(COUNTIF($H$2:H5,H5),0)),_xlfn.CONCAT("",TEXT(COUNTIF($H$2:H5,H5),0))))</f>
        <v>03</v>
      </c>
    </row>
    <row r="6" spans="1:15" x14ac:dyDescent="0.25">
      <c r="A6" t="str">
        <f t="shared" ca="1" si="2"/>
        <v>1.2.04</v>
      </c>
      <c r="B6" t="s">
        <v>385</v>
      </c>
      <c r="C6" t="s">
        <v>386</v>
      </c>
      <c r="D6">
        <v>1</v>
      </c>
      <c r="E6" s="1" t="s">
        <v>22</v>
      </c>
      <c r="F6" t="str">
        <f t="shared" ca="1" si="3"/>
        <v>1.2.04 - EU Declaration of Conformity_JSP_WT70.pdf</v>
      </c>
      <c r="G6" t="str">
        <f t="shared" ca="1" si="4"/>
        <v>1.2.04</v>
      </c>
      <c r="H6" t="str" cm="1">
        <f t="array" aca="1" ref="H6" ca="1">IF(ISERR(SEARCH(".pdf",C6,1)),"",FolderNumber(B6))</f>
        <v>1.2</v>
      </c>
      <c r="I6" t="str">
        <f ca="1">IF(COUNTIF($H$2:H6,H6)&gt;99,COUNTIF($H$2:H6,H6), IF(COUNTIF($H$2:H6,H6)&lt;10,_xlfn.CONCAT("0",TEXT(COUNTIF($H$2:H6,H6),0)),_xlfn.CONCAT("",TEXT(COUNTIF($H$2:H6,H6),0))))</f>
        <v>04</v>
      </c>
    </row>
    <row r="7" spans="1:15" x14ac:dyDescent="0.25">
      <c r="A7" t="str">
        <f t="shared" ca="1" si="2"/>
        <v>1.2.05</v>
      </c>
      <c r="B7" t="s">
        <v>387</v>
      </c>
      <c r="C7" t="s">
        <v>388</v>
      </c>
      <c r="D7">
        <v>5</v>
      </c>
      <c r="E7" s="1" t="s">
        <v>22</v>
      </c>
      <c r="F7" t="str">
        <f t="shared" ca="1" si="3"/>
        <v>1.2.05 - EU Declaration of Conformity_Kopos.pdf</v>
      </c>
      <c r="G7" t="str">
        <f t="shared" ca="1" si="4"/>
        <v>1.2.05</v>
      </c>
      <c r="H7" t="str" cm="1">
        <f t="array" aca="1" ref="H7" ca="1">IF(ISERR(SEARCH(".pdf",C7,1)),"",FolderNumber(B7))</f>
        <v>1.2</v>
      </c>
      <c r="I7" t="str">
        <f ca="1">IF(COUNTIF($H$2:H7,H7)&gt;99,COUNTIF($H$2:H7,H7), IF(COUNTIF($H$2:H7,H7)&lt;10,_xlfn.CONCAT("0",TEXT(COUNTIF($H$2:H7,H7),0)),_xlfn.CONCAT("",TEXT(COUNTIF($H$2:H7,H7),0))))</f>
        <v>05</v>
      </c>
    </row>
    <row r="8" spans="1:15" x14ac:dyDescent="0.25">
      <c r="A8" t="str">
        <f t="shared" ca="1" si="2"/>
        <v>2.01</v>
      </c>
      <c r="B8" t="s">
        <v>389</v>
      </c>
      <c r="C8" t="s">
        <v>390</v>
      </c>
      <c r="D8">
        <v>6</v>
      </c>
      <c r="E8" s="1" t="s">
        <v>22</v>
      </c>
      <c r="F8" t="str">
        <f t="shared" ca="1" si="3"/>
        <v>2.01 - QAP1282-B-V-FI_signed.pdf</v>
      </c>
      <c r="G8" t="str">
        <f t="shared" ca="1" si="4"/>
        <v>2.01</v>
      </c>
      <c r="H8" t="str" cm="1">
        <f t="array" aca="1" ref="H8" ca="1">IF(ISERR(SEARCH(".pdf",C8,1)),"",FolderNumber(B8))</f>
        <v>2</v>
      </c>
      <c r="I8" t="str">
        <f ca="1">IF(COUNTIF($H$2:H8,H8)&gt;99,COUNTIF($H$2:H8,H8), IF(COUNTIF($H$2:H8,H8)&lt;10,_xlfn.CONCAT("0",TEXT(COUNTIF($H$2:H8,H8),0)),_xlfn.CONCAT("",TEXT(COUNTIF($H$2:H8,H8),0))))</f>
        <v>01</v>
      </c>
    </row>
    <row r="9" spans="1:15" x14ac:dyDescent="0.25">
      <c r="A9" t="str">
        <f t="shared" ca="1" si="2"/>
        <v>3.1.01</v>
      </c>
      <c r="B9" t="s">
        <v>391</v>
      </c>
      <c r="C9" t="s">
        <v>392</v>
      </c>
      <c r="D9">
        <v>18</v>
      </c>
      <c r="E9" s="1" t="s">
        <v>22</v>
      </c>
      <c r="F9" t="str">
        <f t="shared" ca="1" si="3"/>
        <v>3.1.01 - List of material.pdf</v>
      </c>
      <c r="G9" t="str">
        <f t="shared" ca="1" si="4"/>
        <v>3.1.01</v>
      </c>
      <c r="H9" t="str" cm="1">
        <f t="array" aca="1" ref="H9" ca="1">IF(ISERR(SEARCH(".pdf",C9,1)),"",FolderNumber(B9))</f>
        <v>3.1</v>
      </c>
      <c r="I9" t="str">
        <f ca="1">IF(COUNTIF($H$2:H9,H9)&gt;99,COUNTIF($H$2:H9,H9), IF(COUNTIF($H$2:H9,H9)&lt;10,_xlfn.CONCAT("0",TEXT(COUNTIF($H$2:H9,H9),0)),_xlfn.CONCAT("",TEXT(COUNTIF($H$2:H9,H9),0))))</f>
        <v>01</v>
      </c>
    </row>
    <row r="10" spans="1:15" x14ac:dyDescent="0.25">
      <c r="A10" t="str">
        <f t="shared" ca="1" si="2"/>
        <v>3.2.01</v>
      </c>
      <c r="B10" t="s">
        <v>393</v>
      </c>
      <c r="C10" t="s">
        <v>394</v>
      </c>
      <c r="D10">
        <v>3</v>
      </c>
      <c r="E10" s="1" t="s">
        <v>22</v>
      </c>
      <c r="F10" t="str">
        <f t="shared" ca="1" si="3"/>
        <v>3.2.01 - Inspection Certificate EN10204-3.1_JSP_WT70.pdf</v>
      </c>
      <c r="G10" t="str">
        <f t="shared" ca="1" si="4"/>
        <v>3.2.01</v>
      </c>
      <c r="H10" t="str" cm="1">
        <f t="array" aca="1" ref="H10" ca="1">IF(ISERR(SEARCH(".pdf",C10,1)),"",FolderNumber(B10))</f>
        <v>3.2</v>
      </c>
      <c r="I10" t="str">
        <f ca="1">IF(COUNTIF($H$2:H10,H10)&gt;99,COUNTIF($H$2:H10,H10), IF(COUNTIF($H$2:H10,H10)&lt;10,_xlfn.CONCAT("0",TEXT(COUNTIF($H$2:H10,H10),0)),_xlfn.CONCAT("",TEXT(COUNTIF($H$2:H10,H10),0))))</f>
        <v>01</v>
      </c>
    </row>
    <row r="11" spans="1:15" x14ac:dyDescent="0.25">
      <c r="A11" t="str">
        <f t="shared" ca="1" si="2"/>
        <v>3.3.01</v>
      </c>
      <c r="B11" t="s">
        <v>395</v>
      </c>
      <c r="C11" t="s">
        <v>396</v>
      </c>
      <c r="D11">
        <v>1</v>
      </c>
      <c r="E11" s="1" t="s">
        <v>22</v>
      </c>
      <c r="F11" t="str">
        <f t="shared" ca="1" si="3"/>
        <v>3.3.01 - Calibration Protocol_JSP_20SA20T0001_T1070.pdf</v>
      </c>
      <c r="G11" t="str">
        <f t="shared" ca="1" si="4"/>
        <v>3.3.01</v>
      </c>
      <c r="H11" t="str" cm="1">
        <f t="array" aca="1" ref="H11" ca="1">IF(ISERR(SEARCH(".pdf",C11,1)),"",FolderNumber(B11))</f>
        <v>3.3</v>
      </c>
      <c r="I11" t="str">
        <f ca="1">IF(COUNTIF($H$2:H11,H11)&gt;99,COUNTIF($H$2:H11,H11), IF(COUNTIF($H$2:H11,H11)&lt;10,_xlfn.CONCAT("0",TEXT(COUNTIF($H$2:H11,H11),0)),_xlfn.CONCAT("",TEXT(COUNTIF($H$2:H11,H11),0))))</f>
        <v>01</v>
      </c>
    </row>
    <row r="12" spans="1:15" x14ac:dyDescent="0.25">
      <c r="A12" t="str">
        <f t="shared" ca="1" si="2"/>
        <v>3.3.02</v>
      </c>
      <c r="B12" t="s">
        <v>397</v>
      </c>
      <c r="C12" t="s">
        <v>398</v>
      </c>
      <c r="D12">
        <v>1</v>
      </c>
      <c r="E12" s="1" t="s">
        <v>22</v>
      </c>
      <c r="F12" t="str">
        <f t="shared" ca="1" si="3"/>
        <v>3.3.02 - Calibration Protocol_JSP_20SA20T0002_T1070.pdf</v>
      </c>
      <c r="G12" t="str">
        <f t="shared" ca="1" si="4"/>
        <v>3.3.02</v>
      </c>
      <c r="H12" t="str" cm="1">
        <f t="array" aca="1" ref="H12" ca="1">IF(ISERR(SEARCH(".pdf",C12,1)),"",FolderNumber(B12))</f>
        <v>3.3</v>
      </c>
      <c r="I12" t="str">
        <f ca="1">IF(COUNTIF($H$2:H12,H12)&gt;99,COUNTIF($H$2:H12,H12), IF(COUNTIF($H$2:H12,H12)&lt;10,_xlfn.CONCAT("0",TEXT(COUNTIF($H$2:H12,H12),0)),_xlfn.CONCAT("",TEXT(COUNTIF($H$2:H12,H12),0))))</f>
        <v>02</v>
      </c>
    </row>
    <row r="13" spans="1:15" x14ac:dyDescent="0.25">
      <c r="A13" t="str">
        <f t="shared" ca="1" si="2"/>
        <v>3.3.03</v>
      </c>
      <c r="B13" t="s">
        <v>399</v>
      </c>
      <c r="C13" t="s">
        <v>400</v>
      </c>
      <c r="D13">
        <v>1</v>
      </c>
      <c r="E13" s="1" t="s">
        <v>22</v>
      </c>
      <c r="F13" t="str">
        <f t="shared" ca="1" si="3"/>
        <v>3.3.03 - Calibration Protocol_JSP_20SA20T0003_T1070.pdf</v>
      </c>
      <c r="G13" t="str">
        <f t="shared" ca="1" si="4"/>
        <v>3.3.03</v>
      </c>
      <c r="H13" t="str" cm="1">
        <f t="array" aca="1" ref="H13" ca="1">IF(ISERR(SEARCH(".pdf",C13,1)),"",FolderNumber(B13))</f>
        <v>3.3</v>
      </c>
      <c r="I13" t="str">
        <f ca="1">IF(COUNTIF($H$2:H13,H13)&gt;99,COUNTIF($H$2:H13,H13), IF(COUNTIF($H$2:H13,H13)&lt;10,_xlfn.CONCAT("0",TEXT(COUNTIF($H$2:H13,H13),0)),_xlfn.CONCAT("",TEXT(COUNTIF($H$2:H13,H13),0))))</f>
        <v>03</v>
      </c>
    </row>
    <row r="14" spans="1:15" x14ac:dyDescent="0.25">
      <c r="A14" t="str">
        <f t="shared" ca="1" si="2"/>
        <v>3.3.04</v>
      </c>
      <c r="B14" t="s">
        <v>401</v>
      </c>
      <c r="C14" t="s">
        <v>402</v>
      </c>
      <c r="D14">
        <v>1</v>
      </c>
      <c r="E14" s="1" t="s">
        <v>22</v>
      </c>
      <c r="F14" t="str">
        <f t="shared" ca="1" si="3"/>
        <v>3.3.04 - Calibration Protocol_JSP_20SA20T0004_T1070.pdf</v>
      </c>
      <c r="G14" t="str">
        <f t="shared" ca="1" si="4"/>
        <v>3.3.04</v>
      </c>
      <c r="H14" t="str" cm="1">
        <f t="array" aca="1" ref="H14" ca="1">IF(ISERR(SEARCH(".pdf",C14,1)),"",FolderNumber(B14))</f>
        <v>3.3</v>
      </c>
      <c r="I14" t="str">
        <f ca="1">IF(COUNTIF($H$2:H14,H14)&gt;99,COUNTIF($H$2:H14,H14), IF(COUNTIF($H$2:H14,H14)&lt;10,_xlfn.CONCAT("0",TEXT(COUNTIF($H$2:H14,H14),0)),_xlfn.CONCAT("",TEXT(COUNTIF($H$2:H14,H14),0))))</f>
        <v>04</v>
      </c>
    </row>
    <row r="15" spans="1:15" x14ac:dyDescent="0.25">
      <c r="A15" t="str">
        <f t="shared" ca="1" si="2"/>
        <v>3.3.05</v>
      </c>
      <c r="B15" t="s">
        <v>403</v>
      </c>
      <c r="C15" t="s">
        <v>404</v>
      </c>
      <c r="D15">
        <v>1</v>
      </c>
      <c r="E15" s="1" t="s">
        <v>22</v>
      </c>
      <c r="F15" t="str">
        <f t="shared" ca="1" si="3"/>
        <v>3.3.05 - Calibration Protocol_JSP_20SA30T0001_T1070.pdf</v>
      </c>
      <c r="G15" t="str">
        <f t="shared" ca="1" si="4"/>
        <v>3.3.05</v>
      </c>
      <c r="H15" t="str" cm="1">
        <f t="array" aca="1" ref="H15" ca="1">IF(ISERR(SEARCH(".pdf",C15,1)),"",FolderNumber(B15))</f>
        <v>3.3</v>
      </c>
      <c r="I15" t="str">
        <f ca="1">IF(COUNTIF($H$2:H15,H15)&gt;99,COUNTIF($H$2:H15,H15), IF(COUNTIF($H$2:H15,H15)&lt;10,_xlfn.CONCAT("0",TEXT(COUNTIF($H$2:H15,H15),0)),_xlfn.CONCAT("",TEXT(COUNTIF($H$2:H15,H15),0))))</f>
        <v>05</v>
      </c>
    </row>
    <row r="16" spans="1:15" x14ac:dyDescent="0.25">
      <c r="A16" t="str">
        <f t="shared" ca="1" si="2"/>
        <v>3.3.06</v>
      </c>
      <c r="B16" t="s">
        <v>405</v>
      </c>
      <c r="C16" t="s">
        <v>406</v>
      </c>
      <c r="D16">
        <v>1</v>
      </c>
      <c r="E16" s="1" t="s">
        <v>22</v>
      </c>
      <c r="F16" t="str">
        <f t="shared" ca="1" si="3"/>
        <v>3.3.06 - Calibration Protocol_JSP_20SA30T0002_T1070.pdf</v>
      </c>
      <c r="G16" t="str">
        <f t="shared" ca="1" si="4"/>
        <v>3.3.06</v>
      </c>
      <c r="H16" t="str" cm="1">
        <f t="array" aca="1" ref="H16" ca="1">IF(ISERR(SEARCH(".pdf",C16,1)),"",FolderNumber(B16))</f>
        <v>3.3</v>
      </c>
      <c r="I16" t="str">
        <f ca="1">IF(COUNTIF($H$2:H16,H16)&gt;99,COUNTIF($H$2:H16,H16), IF(COUNTIF($H$2:H16,H16)&lt;10,_xlfn.CONCAT("0",TEXT(COUNTIF($H$2:H16,H16),0)),_xlfn.CONCAT("",TEXT(COUNTIF($H$2:H16,H16),0))))</f>
        <v>06</v>
      </c>
    </row>
    <row r="17" spans="1:9" x14ac:dyDescent="0.25">
      <c r="A17" t="str">
        <f t="shared" ca="1" si="2"/>
        <v>3.3.07</v>
      </c>
      <c r="B17" t="s">
        <v>407</v>
      </c>
      <c r="C17" t="s">
        <v>408</v>
      </c>
      <c r="D17">
        <v>1</v>
      </c>
      <c r="E17" s="1" t="s">
        <v>22</v>
      </c>
      <c r="F17" t="str">
        <f t="shared" ca="1" si="3"/>
        <v>3.3.07 - Calibration Protocol_JSP_20SA30T0003_T1070.pdf</v>
      </c>
      <c r="G17" t="str">
        <f t="shared" ca="1" si="4"/>
        <v>3.3.07</v>
      </c>
      <c r="H17" t="str" cm="1">
        <f t="array" aca="1" ref="H17" ca="1">IF(ISERR(SEARCH(".pdf",C17,1)),"",FolderNumber(B17))</f>
        <v>3.3</v>
      </c>
      <c r="I17" t="str">
        <f ca="1">IF(COUNTIF($H$2:H17,H17)&gt;99,COUNTIF($H$2:H17,H17), IF(COUNTIF($H$2:H17,H17)&lt;10,_xlfn.CONCAT("0",TEXT(COUNTIF($H$2:H17,H17),0)),_xlfn.CONCAT("",TEXT(COUNTIF($H$2:H17,H17),0))))</f>
        <v>07</v>
      </c>
    </row>
    <row r="18" spans="1:9" x14ac:dyDescent="0.25">
      <c r="A18" t="str">
        <f t="shared" ca="1" si="2"/>
        <v>3.3.08</v>
      </c>
      <c r="B18" t="s">
        <v>409</v>
      </c>
      <c r="C18" t="s">
        <v>410</v>
      </c>
      <c r="D18">
        <v>1</v>
      </c>
      <c r="E18" s="1" t="s">
        <v>22</v>
      </c>
      <c r="F18" t="str">
        <f t="shared" ca="1" si="3"/>
        <v>3.3.08 - Calibration Protocol_JSP_20SA30T0004_T1070.pdf</v>
      </c>
      <c r="G18" t="str">
        <f t="shared" ca="1" si="4"/>
        <v>3.3.08</v>
      </c>
      <c r="H18" t="str" cm="1">
        <f t="array" aca="1" ref="H18" ca="1">IF(ISERR(SEARCH(".pdf",C18,1)),"",FolderNumber(B18))</f>
        <v>3.3</v>
      </c>
      <c r="I18" t="str">
        <f ca="1">IF(COUNTIF($H$2:H18,H18)&gt;99,COUNTIF($H$2:H18,H18), IF(COUNTIF($H$2:H18,H18)&lt;10,_xlfn.CONCAT("0",TEXT(COUNTIF($H$2:H18,H18),0)),_xlfn.CONCAT("",TEXT(COUNTIF($H$2:H18,H18),0))))</f>
        <v>08</v>
      </c>
    </row>
    <row r="19" spans="1:9" x14ac:dyDescent="0.25">
      <c r="A19" t="str">
        <f t="shared" ca="1" si="2"/>
        <v>4.1.01</v>
      </c>
      <c r="B19" t="s">
        <v>411</v>
      </c>
      <c r="C19" t="s">
        <v>412</v>
      </c>
      <c r="D19">
        <v>7</v>
      </c>
      <c r="E19" s="1" t="s">
        <v>22</v>
      </c>
      <c r="F19" t="str">
        <f t="shared" ca="1" si="3"/>
        <v>4.1.01 - D251124401_FAT_FI_LO2_TG3.pdf</v>
      </c>
      <c r="G19" t="str">
        <f t="shared" ca="1" si="4"/>
        <v>4.1.01</v>
      </c>
      <c r="H19" t="str" cm="1">
        <f t="array" aca="1" ref="H19" ca="1">IF(ISERR(SEARCH(".pdf",C19,1)),"",FolderNumber(B19))</f>
        <v>4.1</v>
      </c>
      <c r="I19" t="str">
        <f ca="1">IF(COUNTIF($H$2:H19,H19)&gt;99,COUNTIF($H$2:H19,H19), IF(COUNTIF($H$2:H19,H19)&lt;10,_xlfn.CONCAT("0",TEXT(COUNTIF($H$2:H19,H19),0)),_xlfn.CONCAT("",TEXT(COUNTIF($H$2:H19,H19),0))))</f>
        <v>01</v>
      </c>
    </row>
    <row r="20" spans="1:9" x14ac:dyDescent="0.25">
      <c r="A20" t="str">
        <f t="shared" ca="1" si="2"/>
        <v>4.2.01</v>
      </c>
      <c r="B20" t="s">
        <v>413</v>
      </c>
      <c r="C20" t="s">
        <v>414</v>
      </c>
      <c r="D20">
        <v>1</v>
      </c>
      <c r="E20" s="1" t="s">
        <v>22</v>
      </c>
      <c r="F20" t="str">
        <f t="shared" ca="1" si="3"/>
        <v>4.2.01 - Test report_CICM_JC5XFE-R_2x2x1_UV_Black.pdf</v>
      </c>
      <c r="G20" t="str">
        <f t="shared" ca="1" si="4"/>
        <v>4.2.01</v>
      </c>
      <c r="H20" t="str" cm="1">
        <f t="array" aca="1" ref="H20" ca="1">IF(ISERR(SEARCH(".pdf",C20,1)),"",FolderNumber(B20))</f>
        <v>4.2</v>
      </c>
      <c r="I20" t="str">
        <f ca="1">IF(COUNTIF($H$2:H20,H20)&gt;99,COUNTIF($H$2:H20,H20), IF(COUNTIF($H$2:H20,H20)&lt;10,_xlfn.CONCAT("0",TEXT(COUNTIF($H$2:H20,H20),0)),_xlfn.CONCAT("",TEXT(COUNTIF($H$2:H20,H20),0))))</f>
        <v>01</v>
      </c>
    </row>
    <row r="21" spans="1:9" x14ac:dyDescent="0.25">
      <c r="A21" t="str">
        <f t="shared" ref="A21:A63" ca="1" si="5">G21</f>
        <v>.01</v>
      </c>
      <c r="F21">
        <f t="shared" ref="F21:F26" ca="1" si="6">IF(OR(ISERR(SEARCH(".pdf",C21,1)),ISBLANK(G21)),C21,_xlfn.CONCAT(A21," - ",C21))</f>
        <v>0</v>
      </c>
      <c r="G21" t="str">
        <f t="shared" ref="G21:G63" ca="1" si="7">_xlfn.CONCAT(H21,".",I21)</f>
        <v>.01</v>
      </c>
      <c r="H21" t="str" cm="1">
        <f t="array" ref="H21">IF(ISERR(SEARCH(".pdf",C21,1)),"",FolderNumber(B21))</f>
        <v/>
      </c>
      <c r="I21" t="str">
        <f ca="1">IF(COUNTIF($H$2:H21,H21)&gt;99,COUNTIF($H$2:H21,H21), IF(COUNTIF($H$2:H21,H21)&lt;10,_xlfn.CONCAT("0",TEXT(COUNTIF($H$2:H21,H21),0)),_xlfn.CONCAT("",TEXT(COUNTIF($H$2:H21,H21),0))))</f>
        <v>01</v>
      </c>
    </row>
    <row r="22" spans="1:9" x14ac:dyDescent="0.25">
      <c r="A22" t="str">
        <f t="shared" ca="1" si="5"/>
        <v>.02</v>
      </c>
      <c r="F22">
        <f t="shared" ca="1" si="6"/>
        <v>0</v>
      </c>
      <c r="G22" t="str">
        <f t="shared" ca="1" si="7"/>
        <v>.02</v>
      </c>
      <c r="H22" t="str" cm="1">
        <f t="array" ref="H22">IF(ISERR(SEARCH(".pdf",C22,1)),"",FolderNumber(B22))</f>
        <v/>
      </c>
      <c r="I22" t="str">
        <f ca="1">IF(COUNTIF($H$2:H22,H22)&gt;99,COUNTIF($H$2:H22,H22), IF(COUNTIF($H$2:H22,H22)&lt;10,_xlfn.CONCAT("0",TEXT(COUNTIF($H$2:H22,H22),0)),_xlfn.CONCAT("",TEXT(COUNTIF($H$2:H22,H22),0))))</f>
        <v>02</v>
      </c>
    </row>
    <row r="23" spans="1:9" x14ac:dyDescent="0.25">
      <c r="A23" t="str">
        <f t="shared" ca="1" si="5"/>
        <v>.03</v>
      </c>
      <c r="F23">
        <f t="shared" ca="1" si="6"/>
        <v>0</v>
      </c>
      <c r="G23" t="str">
        <f t="shared" ca="1" si="7"/>
        <v>.03</v>
      </c>
      <c r="H23" t="str" cm="1">
        <f t="array" ref="H23">IF(ISERR(SEARCH(".pdf",C23,1)),"",FolderNumber(B23))</f>
        <v/>
      </c>
      <c r="I23" t="str">
        <f ca="1">IF(COUNTIF($H$2:H23,H23)&gt;99,COUNTIF($H$2:H23,H23), IF(COUNTIF($H$2:H23,H23)&lt;10,_xlfn.CONCAT("0",TEXT(COUNTIF($H$2:H23,H23),0)),_xlfn.CONCAT("",TEXT(COUNTIF($H$2:H23,H23),0))))</f>
        <v>03</v>
      </c>
    </row>
    <row r="24" spans="1:9" x14ac:dyDescent="0.25">
      <c r="A24" t="str">
        <f t="shared" ca="1" si="5"/>
        <v>.04</v>
      </c>
      <c r="F24">
        <f t="shared" ca="1" si="6"/>
        <v>0</v>
      </c>
      <c r="G24" t="str">
        <f t="shared" ca="1" si="7"/>
        <v>.04</v>
      </c>
      <c r="H24" t="str" cm="1">
        <f t="array" ref="H24">IF(ISERR(SEARCH(".pdf",C24,1)),"",FolderNumber(B24))</f>
        <v/>
      </c>
      <c r="I24" t="str">
        <f ca="1">IF(COUNTIF($H$2:H24,H24)&gt;99,COUNTIF($H$2:H24,H24), IF(COUNTIF($H$2:H24,H24)&lt;10,_xlfn.CONCAT("0",TEXT(COUNTIF($H$2:H24,H24),0)),_xlfn.CONCAT("",TEXT(COUNTIF($H$2:H24,H24),0))))</f>
        <v>04</v>
      </c>
    </row>
    <row r="25" spans="1:9" x14ac:dyDescent="0.25">
      <c r="A25" t="str">
        <f t="shared" ca="1" si="5"/>
        <v>.05</v>
      </c>
      <c r="F25">
        <f t="shared" ca="1" si="6"/>
        <v>0</v>
      </c>
      <c r="G25" t="str">
        <f t="shared" ca="1" si="7"/>
        <v>.05</v>
      </c>
      <c r="H25" t="str" cm="1">
        <f t="array" ref="H25">IF(ISERR(SEARCH(".pdf",C25,1)),"",FolderNumber(B25))</f>
        <v/>
      </c>
      <c r="I25" t="str">
        <f ca="1">IF(COUNTIF($H$2:H25,H25)&gt;99,COUNTIF($H$2:H25,H25), IF(COUNTIF($H$2:H25,H25)&lt;10,_xlfn.CONCAT("0",TEXT(COUNTIF($H$2:H25,H25),0)),_xlfn.CONCAT("",TEXT(COUNTIF($H$2:H25,H25),0))))</f>
        <v>05</v>
      </c>
    </row>
    <row r="26" spans="1:9" x14ac:dyDescent="0.25">
      <c r="A26" t="str">
        <f t="shared" ca="1" si="5"/>
        <v>.06</v>
      </c>
      <c r="F26">
        <f t="shared" ca="1" si="6"/>
        <v>0</v>
      </c>
      <c r="G26" t="str">
        <f t="shared" ca="1" si="7"/>
        <v>.06</v>
      </c>
      <c r="H26" t="str" cm="1">
        <f t="array" ref="H26">IF(ISERR(SEARCH(".pdf",C26,1)),"",FolderNumber(B26))</f>
        <v/>
      </c>
      <c r="I26" t="str">
        <f ca="1">IF(COUNTIF($H$2:H26,H26)&gt;99,COUNTIF($H$2:H26,H26), IF(COUNTIF($H$2:H26,H26)&lt;10,_xlfn.CONCAT("0",TEXT(COUNTIF($H$2:H26,H26),0)),_xlfn.CONCAT("",TEXT(COUNTIF($H$2:H26,H26),0))))</f>
        <v>06</v>
      </c>
    </row>
    <row r="27" spans="1:9" x14ac:dyDescent="0.25">
      <c r="A27" t="str">
        <f t="shared" ca="1" si="5"/>
        <v>.07</v>
      </c>
      <c r="F27">
        <f t="shared" ref="F27:F90" ca="1" si="8">IF(OR(ISERR(SEARCH(".pdf",C27,1)),ISBLANK(G27)),C27,_xlfn.CONCAT(A27," - ",C27))</f>
        <v>0</v>
      </c>
      <c r="G27" t="str">
        <f t="shared" ca="1" si="7"/>
        <v>.07</v>
      </c>
      <c r="H27" t="str" cm="1">
        <f t="array" ref="H27">IF(ISERR(SEARCH(".pdf",C27,1)),"",FolderNumber(B27))</f>
        <v/>
      </c>
      <c r="I27" t="str">
        <f ca="1">IF(COUNTIF($H$2:H27,H27)&gt;99,COUNTIF($H$2:H27,H27), IF(COUNTIF($H$2:H27,H27)&lt;10,_xlfn.CONCAT("0",TEXT(COUNTIF($H$2:H27,H27),0)),_xlfn.CONCAT("",TEXT(COUNTIF($H$2:H27,H27),0))))</f>
        <v>07</v>
      </c>
    </row>
    <row r="28" spans="1:9" x14ac:dyDescent="0.25">
      <c r="A28" t="str">
        <f t="shared" ca="1" si="5"/>
        <v>.08</v>
      </c>
      <c r="F28">
        <f t="shared" ca="1" si="8"/>
        <v>0</v>
      </c>
      <c r="G28" t="str">
        <f t="shared" ca="1" si="7"/>
        <v>.08</v>
      </c>
      <c r="H28" t="str" cm="1">
        <f t="array" ref="H28">IF(ISERR(SEARCH(".pdf",C28,1)),"",FolderNumber(B28))</f>
        <v/>
      </c>
      <c r="I28" t="str">
        <f ca="1">IF(COUNTIF($H$2:H28,H28)&gt;99,COUNTIF($H$2:H28,H28), IF(COUNTIF($H$2:H28,H28)&lt;10,_xlfn.CONCAT("0",TEXT(COUNTIF($H$2:H28,H28),0)),_xlfn.CONCAT("",TEXT(COUNTIF($H$2:H28,H28),0))))</f>
        <v>08</v>
      </c>
    </row>
    <row r="29" spans="1:9" x14ac:dyDescent="0.25">
      <c r="A29" t="str">
        <f t="shared" ca="1" si="5"/>
        <v>.09</v>
      </c>
      <c r="F29">
        <f t="shared" ca="1" si="8"/>
        <v>0</v>
      </c>
      <c r="G29" t="str">
        <f t="shared" ca="1" si="7"/>
        <v>.09</v>
      </c>
      <c r="H29" t="str" cm="1">
        <f t="array" ref="H29">IF(ISERR(SEARCH(".pdf",C29,1)),"",FolderNumber(B29))</f>
        <v/>
      </c>
      <c r="I29" t="str">
        <f ca="1">IF(COUNTIF($H$2:H29,H29)&gt;99,COUNTIF($H$2:H29,H29), IF(COUNTIF($H$2:H29,H29)&lt;10,_xlfn.CONCAT("0",TEXT(COUNTIF($H$2:H29,H29),0)),_xlfn.CONCAT("",TEXT(COUNTIF($H$2:H29,H29),0))))</f>
        <v>09</v>
      </c>
    </row>
    <row r="30" spans="1:9" x14ac:dyDescent="0.25">
      <c r="A30" t="str">
        <f t="shared" ca="1" si="5"/>
        <v>.10</v>
      </c>
      <c r="F30">
        <f t="shared" ca="1" si="8"/>
        <v>0</v>
      </c>
      <c r="G30" t="str">
        <f t="shared" ca="1" si="7"/>
        <v>.10</v>
      </c>
      <c r="H30" t="str" cm="1">
        <f t="array" ref="H30">IF(ISERR(SEARCH(".pdf",C30,1)),"",FolderNumber(B30))</f>
        <v/>
      </c>
      <c r="I30" t="str">
        <f ca="1">IF(COUNTIF($H$2:H30,H30)&gt;99,COUNTIF($H$2:H30,H30), IF(COUNTIF($H$2:H30,H30)&lt;10,_xlfn.CONCAT("0",TEXT(COUNTIF($H$2:H30,H30),0)),_xlfn.CONCAT("",TEXT(COUNTIF($H$2:H30,H30),0))))</f>
        <v>10</v>
      </c>
    </row>
    <row r="31" spans="1:9" x14ac:dyDescent="0.25">
      <c r="A31" t="str">
        <f t="shared" ca="1" si="5"/>
        <v>.11</v>
      </c>
      <c r="F31">
        <f t="shared" ca="1" si="8"/>
        <v>0</v>
      </c>
      <c r="G31" t="str">
        <f t="shared" ca="1" si="7"/>
        <v>.11</v>
      </c>
      <c r="H31" t="str" cm="1">
        <f t="array" ref="H31">IF(ISERR(SEARCH(".pdf",C31,1)),"",FolderNumber(B31))</f>
        <v/>
      </c>
      <c r="I31" t="str">
        <f ca="1">IF(COUNTIF($H$2:H31,H31)&gt;99,COUNTIF($H$2:H31,H31), IF(COUNTIF($H$2:H31,H31)&lt;10,_xlfn.CONCAT("0",TEXT(COUNTIF($H$2:H31,H31),0)),_xlfn.CONCAT("",TEXT(COUNTIF($H$2:H31,H31),0))))</f>
        <v>11</v>
      </c>
    </row>
    <row r="32" spans="1:9" x14ac:dyDescent="0.25">
      <c r="A32" t="str">
        <f t="shared" ca="1" si="5"/>
        <v>.12</v>
      </c>
      <c r="F32">
        <f t="shared" ca="1" si="8"/>
        <v>0</v>
      </c>
      <c r="G32" t="str">
        <f t="shared" ca="1" si="7"/>
        <v>.12</v>
      </c>
      <c r="H32" t="str" cm="1">
        <f t="array" ref="H32">IF(ISERR(SEARCH(".pdf",C32,1)),"",FolderNumber(B32))</f>
        <v/>
      </c>
      <c r="I32" t="str">
        <f ca="1">IF(COUNTIF($H$2:H32,H32)&gt;99,COUNTIF($H$2:H32,H32), IF(COUNTIF($H$2:H32,H32)&lt;10,_xlfn.CONCAT("0",TEXT(COUNTIF($H$2:H32,H32),0)),_xlfn.CONCAT("",TEXT(COUNTIF($H$2:H32,H32),0))))</f>
        <v>12</v>
      </c>
    </row>
    <row r="33" spans="1:9" x14ac:dyDescent="0.25">
      <c r="A33" t="str">
        <f t="shared" ca="1" si="5"/>
        <v>.13</v>
      </c>
      <c r="F33">
        <f t="shared" ca="1" si="8"/>
        <v>0</v>
      </c>
      <c r="G33" t="str">
        <f t="shared" ca="1" si="7"/>
        <v>.13</v>
      </c>
      <c r="H33" t="str" cm="1">
        <f t="array" ref="H33">IF(ISERR(SEARCH(".pdf",C33,1)),"",FolderNumber(B33))</f>
        <v/>
      </c>
      <c r="I33" t="str">
        <f ca="1">IF(COUNTIF($H$2:H33,H33)&gt;99,COUNTIF($H$2:H33,H33), IF(COUNTIF($H$2:H33,H33)&lt;10,_xlfn.CONCAT("0",TEXT(COUNTIF($H$2:H33,H33),0)),_xlfn.CONCAT("",TEXT(COUNTIF($H$2:H33,H33),0))))</f>
        <v>13</v>
      </c>
    </row>
    <row r="34" spans="1:9" x14ac:dyDescent="0.25">
      <c r="A34" t="str">
        <f t="shared" ca="1" si="5"/>
        <v>.14</v>
      </c>
      <c r="F34">
        <f t="shared" ca="1" si="8"/>
        <v>0</v>
      </c>
      <c r="G34" t="str">
        <f t="shared" ca="1" si="7"/>
        <v>.14</v>
      </c>
      <c r="H34" t="str" cm="1">
        <f t="array" ref="H34">IF(ISERR(SEARCH(".pdf",C34,1)),"",FolderNumber(B34))</f>
        <v/>
      </c>
      <c r="I34" t="str">
        <f ca="1">IF(COUNTIF($H$2:H34,H34)&gt;99,COUNTIF($H$2:H34,H34), IF(COUNTIF($H$2:H34,H34)&lt;10,_xlfn.CONCAT("0",TEXT(COUNTIF($H$2:H34,H34),0)),_xlfn.CONCAT("",TEXT(COUNTIF($H$2:H34,H34),0))))</f>
        <v>14</v>
      </c>
    </row>
    <row r="35" spans="1:9" x14ac:dyDescent="0.25">
      <c r="A35" t="str">
        <f t="shared" ca="1" si="5"/>
        <v>.15</v>
      </c>
      <c r="F35">
        <f t="shared" ca="1" si="8"/>
        <v>0</v>
      </c>
      <c r="G35" t="str">
        <f t="shared" ca="1" si="7"/>
        <v>.15</v>
      </c>
      <c r="H35" t="str" cm="1">
        <f t="array" ref="H35">IF(ISERR(SEARCH(".pdf",C35,1)),"",FolderNumber(B35))</f>
        <v/>
      </c>
      <c r="I35" t="str">
        <f ca="1">IF(COUNTIF($H$2:H35,H35)&gt;99,COUNTIF($H$2:H35,H35), IF(COUNTIF($H$2:H35,H35)&lt;10,_xlfn.CONCAT("0",TEXT(COUNTIF($H$2:H35,H35),0)),_xlfn.CONCAT("",TEXT(COUNTIF($H$2:H35,H35),0))))</f>
        <v>15</v>
      </c>
    </row>
    <row r="36" spans="1:9" x14ac:dyDescent="0.25">
      <c r="A36" t="str">
        <f t="shared" ca="1" si="5"/>
        <v>.16</v>
      </c>
      <c r="F36">
        <f t="shared" ca="1" si="8"/>
        <v>0</v>
      </c>
      <c r="G36" t="str">
        <f t="shared" ca="1" si="7"/>
        <v>.16</v>
      </c>
      <c r="H36" t="str" cm="1">
        <f t="array" ref="H36">IF(ISERR(SEARCH(".pdf",C36,1)),"",FolderNumber(B36))</f>
        <v/>
      </c>
      <c r="I36" t="str">
        <f ca="1">IF(COUNTIF($H$2:H36,H36)&gt;99,COUNTIF($H$2:H36,H36), IF(COUNTIF($H$2:H36,H36)&lt;10,_xlfn.CONCAT("0",TEXT(COUNTIF($H$2:H36,H36),0)),_xlfn.CONCAT("",TEXT(COUNTIF($H$2:H36,H36),0))))</f>
        <v>16</v>
      </c>
    </row>
    <row r="37" spans="1:9" x14ac:dyDescent="0.25">
      <c r="A37" t="str">
        <f t="shared" ca="1" si="5"/>
        <v>.17</v>
      </c>
      <c r="F37">
        <f t="shared" ca="1" si="8"/>
        <v>0</v>
      </c>
      <c r="G37" t="str">
        <f t="shared" ca="1" si="7"/>
        <v>.17</v>
      </c>
      <c r="H37" t="str" cm="1">
        <f t="array" ref="H37">IF(ISERR(SEARCH(".pdf",C37,1)),"",FolderNumber(B37))</f>
        <v/>
      </c>
      <c r="I37" t="str">
        <f ca="1">IF(COUNTIF($H$2:H37,H37)&gt;99,COUNTIF($H$2:H37,H37), IF(COUNTIF($H$2:H37,H37)&lt;10,_xlfn.CONCAT("0",TEXT(COUNTIF($H$2:H37,H37),0)),_xlfn.CONCAT("",TEXT(COUNTIF($H$2:H37,H37),0))))</f>
        <v>17</v>
      </c>
    </row>
    <row r="38" spans="1:9" x14ac:dyDescent="0.25">
      <c r="A38" t="str">
        <f t="shared" ca="1" si="5"/>
        <v>.18</v>
      </c>
      <c r="F38">
        <f t="shared" ca="1" si="8"/>
        <v>0</v>
      </c>
      <c r="G38" t="str">
        <f t="shared" ca="1" si="7"/>
        <v>.18</v>
      </c>
      <c r="H38" t="str" cm="1">
        <f t="array" ref="H38">IF(ISERR(SEARCH(".pdf",C38,1)),"",FolderNumber(B38))</f>
        <v/>
      </c>
      <c r="I38" t="str">
        <f ca="1">IF(COUNTIF($H$2:H38,H38)&gt;99,COUNTIF($H$2:H38,H38), IF(COUNTIF($H$2:H38,H38)&lt;10,_xlfn.CONCAT("0",TEXT(COUNTIF($H$2:H38,H38),0)),_xlfn.CONCAT("",TEXT(COUNTIF($H$2:H38,H38),0))))</f>
        <v>18</v>
      </c>
    </row>
    <row r="39" spans="1:9" x14ac:dyDescent="0.25">
      <c r="A39" t="str">
        <f t="shared" ca="1" si="5"/>
        <v>.19</v>
      </c>
      <c r="F39">
        <f t="shared" ca="1" si="8"/>
        <v>0</v>
      </c>
      <c r="G39" t="str">
        <f t="shared" ca="1" si="7"/>
        <v>.19</v>
      </c>
      <c r="H39" t="str" cm="1">
        <f t="array" ref="H39">IF(ISERR(SEARCH(".pdf",C39,1)),"",FolderNumber(B39))</f>
        <v/>
      </c>
      <c r="I39" t="str">
        <f ca="1">IF(COUNTIF($H$2:H39,H39)&gt;99,COUNTIF($H$2:H39,H39), IF(COUNTIF($H$2:H39,H39)&lt;10,_xlfn.CONCAT("0",TEXT(COUNTIF($H$2:H39,H39),0)),_xlfn.CONCAT("",TEXT(COUNTIF($H$2:H39,H39),0))))</f>
        <v>19</v>
      </c>
    </row>
    <row r="40" spans="1:9" x14ac:dyDescent="0.25">
      <c r="A40" t="str">
        <f t="shared" ca="1" si="5"/>
        <v>.20</v>
      </c>
      <c r="F40">
        <f t="shared" ca="1" si="8"/>
        <v>0</v>
      </c>
      <c r="G40" t="str">
        <f t="shared" ca="1" si="7"/>
        <v>.20</v>
      </c>
      <c r="H40" t="str" cm="1">
        <f t="array" ref="H40">IF(ISERR(SEARCH(".pdf",C40,1)),"",FolderNumber(B40))</f>
        <v/>
      </c>
      <c r="I40" t="str">
        <f ca="1">IF(COUNTIF($H$2:H40,H40)&gt;99,COUNTIF($H$2:H40,H40), IF(COUNTIF($H$2:H40,H40)&lt;10,_xlfn.CONCAT("0",TEXT(COUNTIF($H$2:H40,H40),0)),_xlfn.CONCAT("",TEXT(COUNTIF($H$2:H40,H40),0))))</f>
        <v>20</v>
      </c>
    </row>
    <row r="41" spans="1:9" x14ac:dyDescent="0.25">
      <c r="A41" t="str">
        <f t="shared" ca="1" si="5"/>
        <v>.21</v>
      </c>
      <c r="F41">
        <f t="shared" ca="1" si="8"/>
        <v>0</v>
      </c>
      <c r="G41" t="str">
        <f t="shared" ca="1" si="7"/>
        <v>.21</v>
      </c>
      <c r="H41" t="str" cm="1">
        <f t="array" ref="H41">IF(ISERR(SEARCH(".pdf",C41,1)),"",FolderNumber(B41))</f>
        <v/>
      </c>
      <c r="I41" t="str">
        <f ca="1">IF(COUNTIF($H$2:H41,H41)&gt;99,COUNTIF($H$2:H41,H41), IF(COUNTIF($H$2:H41,H41)&lt;10,_xlfn.CONCAT("0",TEXT(COUNTIF($H$2:H41,H41),0)),_xlfn.CONCAT("",TEXT(COUNTIF($H$2:H41,H41),0))))</f>
        <v>21</v>
      </c>
    </row>
    <row r="42" spans="1:9" x14ac:dyDescent="0.25">
      <c r="A42" t="str">
        <f t="shared" ca="1" si="5"/>
        <v>.22</v>
      </c>
      <c r="F42">
        <f t="shared" ca="1" si="8"/>
        <v>0</v>
      </c>
      <c r="G42" t="str">
        <f t="shared" ca="1" si="7"/>
        <v>.22</v>
      </c>
      <c r="H42" t="str" cm="1">
        <f t="array" ref="H42">IF(ISERR(SEARCH(".pdf",C42,1)),"",FolderNumber(B42))</f>
        <v/>
      </c>
      <c r="I42" t="str">
        <f ca="1">IF(COUNTIF($H$2:H42,H42)&gt;99,COUNTIF($H$2:H42,H42), IF(COUNTIF($H$2:H42,H42)&lt;10,_xlfn.CONCAT("0",TEXT(COUNTIF($H$2:H42,H42),0)),_xlfn.CONCAT("",TEXT(COUNTIF($H$2:H42,H42),0))))</f>
        <v>22</v>
      </c>
    </row>
    <row r="43" spans="1:9" x14ac:dyDescent="0.25">
      <c r="A43" t="str">
        <f t="shared" ca="1" si="5"/>
        <v>.23</v>
      </c>
      <c r="F43">
        <f t="shared" ca="1" si="8"/>
        <v>0</v>
      </c>
      <c r="G43" t="str">
        <f t="shared" ca="1" si="7"/>
        <v>.23</v>
      </c>
      <c r="H43" t="str" cm="1">
        <f t="array" ref="H43">IF(ISERR(SEARCH(".pdf",C43,1)),"",FolderNumber(B43))</f>
        <v/>
      </c>
      <c r="I43" t="str">
        <f ca="1">IF(COUNTIF($H$2:H43,H43)&gt;99,COUNTIF($H$2:H43,H43), IF(COUNTIF($H$2:H43,H43)&lt;10,_xlfn.CONCAT("0",TEXT(COUNTIF($H$2:H43,H43),0)),_xlfn.CONCAT("",TEXT(COUNTIF($H$2:H43,H43),0))))</f>
        <v>23</v>
      </c>
    </row>
    <row r="44" spans="1:9" x14ac:dyDescent="0.25">
      <c r="A44" t="str">
        <f t="shared" ca="1" si="5"/>
        <v>.24</v>
      </c>
      <c r="F44">
        <f t="shared" ca="1" si="8"/>
        <v>0</v>
      </c>
      <c r="G44" t="str">
        <f t="shared" ca="1" si="7"/>
        <v>.24</v>
      </c>
      <c r="H44" t="str" cm="1">
        <f t="array" ref="H44">IF(ISERR(SEARCH(".pdf",C44,1)),"",FolderNumber(B44))</f>
        <v/>
      </c>
      <c r="I44" t="str">
        <f ca="1">IF(COUNTIF($H$2:H44,H44)&gt;99,COUNTIF($H$2:H44,H44), IF(COUNTIF($H$2:H44,H44)&lt;10,_xlfn.CONCAT("0",TEXT(COUNTIF($H$2:H44,H44),0)),_xlfn.CONCAT("",TEXT(COUNTIF($H$2:H44,H44),0))))</f>
        <v>24</v>
      </c>
    </row>
    <row r="45" spans="1:9" x14ac:dyDescent="0.25">
      <c r="A45" t="str">
        <f t="shared" ca="1" si="5"/>
        <v>.25</v>
      </c>
      <c r="F45">
        <f t="shared" ca="1" si="8"/>
        <v>0</v>
      </c>
      <c r="G45" t="str">
        <f t="shared" ca="1" si="7"/>
        <v>.25</v>
      </c>
      <c r="H45" t="str" cm="1">
        <f t="array" ref="H45">IF(ISERR(SEARCH(".pdf",C45,1)),"",FolderNumber(B45))</f>
        <v/>
      </c>
      <c r="I45" t="str">
        <f ca="1">IF(COUNTIF($H$2:H45,H45)&gt;99,COUNTIF($H$2:H45,H45), IF(COUNTIF($H$2:H45,H45)&lt;10,_xlfn.CONCAT("0",TEXT(COUNTIF($H$2:H45,H45),0)),_xlfn.CONCAT("",TEXT(COUNTIF($H$2:H45,H45),0))))</f>
        <v>25</v>
      </c>
    </row>
    <row r="46" spans="1:9" x14ac:dyDescent="0.25">
      <c r="A46" t="str">
        <f t="shared" ca="1" si="5"/>
        <v>.26</v>
      </c>
      <c r="F46">
        <f t="shared" ca="1" si="8"/>
        <v>0</v>
      </c>
      <c r="G46" t="str">
        <f t="shared" ca="1" si="7"/>
        <v>.26</v>
      </c>
      <c r="H46" t="str" cm="1">
        <f t="array" ref="H46">IF(ISERR(SEARCH(".pdf",C46,1)),"",FolderNumber(B46))</f>
        <v/>
      </c>
      <c r="I46" t="str">
        <f ca="1">IF(COUNTIF($H$2:H46,H46)&gt;99,COUNTIF($H$2:H46,H46), IF(COUNTIF($H$2:H46,H46)&lt;10,_xlfn.CONCAT("0",TEXT(COUNTIF($H$2:H46,H46),0)),_xlfn.CONCAT("",TEXT(COUNTIF($H$2:H46,H46),0))))</f>
        <v>26</v>
      </c>
    </row>
    <row r="47" spans="1:9" x14ac:dyDescent="0.25">
      <c r="A47" t="str">
        <f t="shared" ca="1" si="5"/>
        <v>.27</v>
      </c>
      <c r="F47">
        <f t="shared" ca="1" si="8"/>
        <v>0</v>
      </c>
      <c r="G47" t="str">
        <f t="shared" ca="1" si="7"/>
        <v>.27</v>
      </c>
      <c r="H47" t="str" cm="1">
        <f t="array" ref="H47">IF(ISERR(SEARCH(".pdf",C47,1)),"",FolderNumber(B47))</f>
        <v/>
      </c>
      <c r="I47" t="str">
        <f ca="1">IF(COUNTIF($H$2:H47,H47)&gt;99,COUNTIF($H$2:H47,H47), IF(COUNTIF($H$2:H47,H47)&lt;10,_xlfn.CONCAT("0",TEXT(COUNTIF($H$2:H47,H47),0)),_xlfn.CONCAT("",TEXT(COUNTIF($H$2:H47,H47),0))))</f>
        <v>27</v>
      </c>
    </row>
    <row r="48" spans="1:9" x14ac:dyDescent="0.25">
      <c r="A48" t="str">
        <f t="shared" ca="1" si="5"/>
        <v>.28</v>
      </c>
      <c r="F48">
        <f t="shared" ca="1" si="8"/>
        <v>0</v>
      </c>
      <c r="G48" t="str">
        <f t="shared" ca="1" si="7"/>
        <v>.28</v>
      </c>
      <c r="H48" t="str" cm="1">
        <f t="array" ref="H48">IF(ISERR(SEARCH(".pdf",C48,1)),"",FolderNumber(B48))</f>
        <v/>
      </c>
      <c r="I48" t="str">
        <f ca="1">IF(COUNTIF($H$2:H48,H48)&gt;99,COUNTIF($H$2:H48,H48), IF(COUNTIF($H$2:H48,H48)&lt;10,_xlfn.CONCAT("0",TEXT(COUNTIF($H$2:H48,H48),0)),_xlfn.CONCAT("",TEXT(COUNTIF($H$2:H48,H48),0))))</f>
        <v>28</v>
      </c>
    </row>
    <row r="49" spans="1:9" x14ac:dyDescent="0.25">
      <c r="A49" t="str">
        <f t="shared" ca="1" si="5"/>
        <v>.29</v>
      </c>
      <c r="F49">
        <f t="shared" ca="1" si="8"/>
        <v>0</v>
      </c>
      <c r="G49" t="str">
        <f t="shared" ca="1" si="7"/>
        <v>.29</v>
      </c>
      <c r="H49" t="str" cm="1">
        <f t="array" ref="H49">IF(ISERR(SEARCH(".pdf",C49,1)),"",FolderNumber(B49))</f>
        <v/>
      </c>
      <c r="I49" t="str">
        <f ca="1">IF(COUNTIF($H$2:H49,H49)&gt;99,COUNTIF($H$2:H49,H49), IF(COUNTIF($H$2:H49,H49)&lt;10,_xlfn.CONCAT("0",TEXT(COUNTIF($H$2:H49,H49),0)),_xlfn.CONCAT("",TEXT(COUNTIF($H$2:H49,H49),0))))</f>
        <v>29</v>
      </c>
    </row>
    <row r="50" spans="1:9" x14ac:dyDescent="0.25">
      <c r="A50" t="str">
        <f t="shared" ca="1" si="5"/>
        <v>.30</v>
      </c>
      <c r="F50">
        <f t="shared" ca="1" si="8"/>
        <v>0</v>
      </c>
      <c r="G50" t="str">
        <f t="shared" ca="1" si="7"/>
        <v>.30</v>
      </c>
      <c r="H50" t="str" cm="1">
        <f t="array" ref="H50">IF(ISERR(SEARCH(".pdf",C50,1)),"",FolderNumber(B50))</f>
        <v/>
      </c>
      <c r="I50" t="str">
        <f ca="1">IF(COUNTIF($H$2:H50,H50)&gt;99,COUNTIF($H$2:H50,H50), IF(COUNTIF($H$2:H50,H50)&lt;10,_xlfn.CONCAT("0",TEXT(COUNTIF($H$2:H50,H50),0)),_xlfn.CONCAT("",TEXT(COUNTIF($H$2:H50,H50),0))))</f>
        <v>30</v>
      </c>
    </row>
    <row r="51" spans="1:9" x14ac:dyDescent="0.25">
      <c r="A51" t="str">
        <f t="shared" ca="1" si="5"/>
        <v>.31</v>
      </c>
      <c r="F51">
        <f t="shared" ca="1" si="8"/>
        <v>0</v>
      </c>
      <c r="G51" t="str">
        <f t="shared" ca="1" si="7"/>
        <v>.31</v>
      </c>
      <c r="H51" t="str" cm="1">
        <f t="array" ref="H51">IF(ISERR(SEARCH(".pdf",C51,1)),"",FolderNumber(B51))</f>
        <v/>
      </c>
      <c r="I51" t="str">
        <f ca="1">IF(COUNTIF($H$2:H51,H51)&gt;99,COUNTIF($H$2:H51,H51), IF(COUNTIF($H$2:H51,H51)&lt;10,_xlfn.CONCAT("0",TEXT(COUNTIF($H$2:H51,H51),0)),_xlfn.CONCAT("",TEXT(COUNTIF($H$2:H51,H51),0))))</f>
        <v>31</v>
      </c>
    </row>
    <row r="52" spans="1:9" x14ac:dyDescent="0.25">
      <c r="A52" t="str">
        <f t="shared" ca="1" si="5"/>
        <v>.32</v>
      </c>
      <c r="F52">
        <f t="shared" ca="1" si="8"/>
        <v>0</v>
      </c>
      <c r="G52" t="str">
        <f t="shared" ca="1" si="7"/>
        <v>.32</v>
      </c>
      <c r="H52" t="str" cm="1">
        <f t="array" ref="H52">IF(ISERR(SEARCH(".pdf",C52,1)),"",FolderNumber(B52))</f>
        <v/>
      </c>
      <c r="I52" t="str">
        <f ca="1">IF(COUNTIF($H$2:H52,H52)&gt;99,COUNTIF($H$2:H52,H52), IF(COUNTIF($H$2:H52,H52)&lt;10,_xlfn.CONCAT("0",TEXT(COUNTIF($H$2:H52,H52),0)),_xlfn.CONCAT("",TEXT(COUNTIF($H$2:H52,H52),0))))</f>
        <v>32</v>
      </c>
    </row>
    <row r="53" spans="1:9" x14ac:dyDescent="0.25">
      <c r="A53" t="str">
        <f t="shared" ca="1" si="5"/>
        <v>.33</v>
      </c>
      <c r="F53">
        <f t="shared" ca="1" si="8"/>
        <v>0</v>
      </c>
      <c r="G53" t="str">
        <f t="shared" ca="1" si="7"/>
        <v>.33</v>
      </c>
      <c r="H53" t="str" cm="1">
        <f t="array" ref="H53">IF(ISERR(SEARCH(".pdf",C53,1)),"",FolderNumber(B53))</f>
        <v/>
      </c>
      <c r="I53" t="str">
        <f ca="1">IF(COUNTIF($H$2:H53,H53)&gt;99,COUNTIF($H$2:H53,H53), IF(COUNTIF($H$2:H53,H53)&lt;10,_xlfn.CONCAT("0",TEXT(COUNTIF($H$2:H53,H53),0)),_xlfn.CONCAT("",TEXT(COUNTIF($H$2:H53,H53),0))))</f>
        <v>33</v>
      </c>
    </row>
    <row r="54" spans="1:9" x14ac:dyDescent="0.25">
      <c r="A54" t="str">
        <f t="shared" ca="1" si="5"/>
        <v>.34</v>
      </c>
      <c r="F54">
        <f t="shared" ca="1" si="8"/>
        <v>0</v>
      </c>
      <c r="G54" t="str">
        <f t="shared" ca="1" si="7"/>
        <v>.34</v>
      </c>
      <c r="H54" t="str" cm="1">
        <f t="array" ref="H54">IF(ISERR(SEARCH(".pdf",C54,1)),"",FolderNumber(B54))</f>
        <v/>
      </c>
      <c r="I54" t="str">
        <f ca="1">IF(COUNTIF($H$2:H54,H54)&gt;99,COUNTIF($H$2:H54,H54), IF(COUNTIF($H$2:H54,H54)&lt;10,_xlfn.CONCAT("0",TEXT(COUNTIF($H$2:H54,H54),0)),_xlfn.CONCAT("",TEXT(COUNTIF($H$2:H54,H54),0))))</f>
        <v>34</v>
      </c>
    </row>
    <row r="55" spans="1:9" x14ac:dyDescent="0.25">
      <c r="A55" t="str">
        <f t="shared" ca="1" si="5"/>
        <v>.35</v>
      </c>
      <c r="F55">
        <f t="shared" ca="1" si="8"/>
        <v>0</v>
      </c>
      <c r="G55" t="str">
        <f t="shared" ca="1" si="7"/>
        <v>.35</v>
      </c>
      <c r="H55" t="str" cm="1">
        <f t="array" ref="H55">IF(ISERR(SEARCH(".pdf",C55,1)),"",FolderNumber(B55))</f>
        <v/>
      </c>
      <c r="I55" t="str">
        <f ca="1">IF(COUNTIF($H$2:H55,H55)&gt;99,COUNTIF($H$2:H55,H55), IF(COUNTIF($H$2:H55,H55)&lt;10,_xlfn.CONCAT("0",TEXT(COUNTIF($H$2:H55,H55),0)),_xlfn.CONCAT("",TEXT(COUNTIF($H$2:H55,H55),0))))</f>
        <v>35</v>
      </c>
    </row>
    <row r="56" spans="1:9" x14ac:dyDescent="0.25">
      <c r="A56" t="str">
        <f t="shared" ca="1" si="5"/>
        <v>.36</v>
      </c>
      <c r="F56">
        <f t="shared" ca="1" si="8"/>
        <v>0</v>
      </c>
      <c r="G56" t="str">
        <f t="shared" ca="1" si="7"/>
        <v>.36</v>
      </c>
      <c r="H56" t="str" cm="1">
        <f t="array" ref="H56">IF(ISERR(SEARCH(".pdf",C56,1)),"",FolderNumber(B56))</f>
        <v/>
      </c>
      <c r="I56" t="str">
        <f ca="1">IF(COUNTIF($H$2:H56,H56)&gt;99,COUNTIF($H$2:H56,H56), IF(COUNTIF($H$2:H56,H56)&lt;10,_xlfn.CONCAT("0",TEXT(COUNTIF($H$2:H56,H56),0)),_xlfn.CONCAT("",TEXT(COUNTIF($H$2:H56,H56),0))))</f>
        <v>36</v>
      </c>
    </row>
    <row r="57" spans="1:9" x14ac:dyDescent="0.25">
      <c r="A57" t="str">
        <f t="shared" ca="1" si="5"/>
        <v>.37</v>
      </c>
      <c r="F57">
        <f t="shared" ca="1" si="8"/>
        <v>0</v>
      </c>
      <c r="G57" t="str">
        <f t="shared" ca="1" si="7"/>
        <v>.37</v>
      </c>
      <c r="H57" t="str" cm="1">
        <f t="array" ref="H57">IF(ISERR(SEARCH(".pdf",C57,1)),"",FolderNumber(B57))</f>
        <v/>
      </c>
      <c r="I57" t="str">
        <f ca="1">IF(COUNTIF($H$2:H57,H57)&gt;99,COUNTIF($H$2:H57,H57), IF(COUNTIF($H$2:H57,H57)&lt;10,_xlfn.CONCAT("0",TEXT(COUNTIF($H$2:H57,H57),0)),_xlfn.CONCAT("",TEXT(COUNTIF($H$2:H57,H57),0))))</f>
        <v>37</v>
      </c>
    </row>
    <row r="58" spans="1:9" x14ac:dyDescent="0.25">
      <c r="A58" t="str">
        <f t="shared" ca="1" si="5"/>
        <v>.38</v>
      </c>
      <c r="F58">
        <f t="shared" ca="1" si="8"/>
        <v>0</v>
      </c>
      <c r="G58" t="str">
        <f t="shared" ca="1" si="7"/>
        <v>.38</v>
      </c>
      <c r="H58" t="str" cm="1">
        <f t="array" ref="H58">IF(ISERR(SEARCH(".pdf",C58,1)),"",FolderNumber(B58))</f>
        <v/>
      </c>
      <c r="I58" t="str">
        <f ca="1">IF(COUNTIF($H$2:H58,H58)&gt;99,COUNTIF($H$2:H58,H58), IF(COUNTIF($H$2:H58,H58)&lt;10,_xlfn.CONCAT("0",TEXT(COUNTIF($H$2:H58,H58),0)),_xlfn.CONCAT("",TEXT(COUNTIF($H$2:H58,H58),0))))</f>
        <v>38</v>
      </c>
    </row>
    <row r="59" spans="1:9" x14ac:dyDescent="0.25">
      <c r="A59" t="str">
        <f t="shared" ca="1" si="5"/>
        <v>.39</v>
      </c>
      <c r="F59">
        <f t="shared" ca="1" si="8"/>
        <v>0</v>
      </c>
      <c r="G59" t="str">
        <f t="shared" ca="1" si="7"/>
        <v>.39</v>
      </c>
      <c r="H59" t="str" cm="1">
        <f t="array" ref="H59">IF(ISERR(SEARCH(".pdf",C59,1)),"",FolderNumber(B59))</f>
        <v/>
      </c>
      <c r="I59" t="str">
        <f ca="1">IF(COUNTIF($H$2:H59,H59)&gt;99,COUNTIF($H$2:H59,H59), IF(COUNTIF($H$2:H59,H59)&lt;10,_xlfn.CONCAT("0",TEXT(COUNTIF($H$2:H59,H59),0)),_xlfn.CONCAT("",TEXT(COUNTIF($H$2:H59,H59),0))))</f>
        <v>39</v>
      </c>
    </row>
    <row r="60" spans="1:9" x14ac:dyDescent="0.25">
      <c r="A60" t="str">
        <f t="shared" ca="1" si="5"/>
        <v>.40</v>
      </c>
      <c r="F60">
        <f t="shared" ca="1" si="8"/>
        <v>0</v>
      </c>
      <c r="G60" t="str">
        <f t="shared" ca="1" si="7"/>
        <v>.40</v>
      </c>
      <c r="H60" t="str" cm="1">
        <f t="array" ref="H60">IF(ISERR(SEARCH(".pdf",C60,1)),"",FolderNumber(B60))</f>
        <v/>
      </c>
      <c r="I60" t="str">
        <f ca="1">IF(COUNTIF($H$2:H60,H60)&gt;99,COUNTIF($H$2:H60,H60), IF(COUNTIF($H$2:H60,H60)&lt;10,_xlfn.CONCAT("0",TEXT(COUNTIF($H$2:H60,H60),0)),_xlfn.CONCAT("",TEXT(COUNTIF($H$2:H60,H60),0))))</f>
        <v>40</v>
      </c>
    </row>
    <row r="61" spans="1:9" x14ac:dyDescent="0.25">
      <c r="A61" t="str">
        <f t="shared" ca="1" si="5"/>
        <v>.41</v>
      </c>
      <c r="F61">
        <f t="shared" ca="1" si="8"/>
        <v>0</v>
      </c>
      <c r="G61" t="str">
        <f t="shared" ca="1" si="7"/>
        <v>.41</v>
      </c>
      <c r="H61" t="str" cm="1">
        <f t="array" ref="H61">IF(ISERR(SEARCH(".pdf",C61,1)),"",FolderNumber(B61))</f>
        <v/>
      </c>
      <c r="I61" t="str">
        <f ca="1">IF(COUNTIF($H$2:H61,H61)&gt;99,COUNTIF($H$2:H61,H61), IF(COUNTIF($H$2:H61,H61)&lt;10,_xlfn.CONCAT("0",TEXT(COUNTIF($H$2:H61,H61),0)),_xlfn.CONCAT("",TEXT(COUNTIF($H$2:H61,H61),0))))</f>
        <v>41</v>
      </c>
    </row>
    <row r="62" spans="1:9" x14ac:dyDescent="0.25">
      <c r="A62" t="str">
        <f t="shared" ca="1" si="5"/>
        <v>.42</v>
      </c>
      <c r="F62">
        <f t="shared" ca="1" si="8"/>
        <v>0</v>
      </c>
      <c r="G62" t="str">
        <f t="shared" ca="1" si="7"/>
        <v>.42</v>
      </c>
      <c r="H62" t="str" cm="1">
        <f t="array" ref="H62">IF(ISERR(SEARCH(".pdf",C62,1)),"",FolderNumber(B62))</f>
        <v/>
      </c>
      <c r="I62" t="str">
        <f ca="1">IF(COUNTIF($H$2:H62,H62)&gt;99,COUNTIF($H$2:H62,H62), IF(COUNTIF($H$2:H62,H62)&lt;10,_xlfn.CONCAT("0",TEXT(COUNTIF($H$2:H62,H62),0)),_xlfn.CONCAT("",TEXT(COUNTIF($H$2:H62,H62),0))))</f>
        <v>42</v>
      </c>
    </row>
    <row r="63" spans="1:9" x14ac:dyDescent="0.25">
      <c r="A63" t="str">
        <f t="shared" ca="1" si="5"/>
        <v>.43</v>
      </c>
      <c r="F63">
        <f t="shared" ca="1" si="8"/>
        <v>0</v>
      </c>
      <c r="G63" t="str">
        <f t="shared" ca="1" si="7"/>
        <v>.43</v>
      </c>
      <c r="H63" t="str" cm="1">
        <f t="array" ref="H63">IF(ISERR(SEARCH(".pdf",C63,1)),"",FolderNumber(B63))</f>
        <v/>
      </c>
      <c r="I63" t="str">
        <f ca="1">IF(COUNTIF($H$2:H63,H63)&gt;99,COUNTIF($H$2:H63,H63), IF(COUNTIF($H$2:H63,H63)&lt;10,_xlfn.CONCAT("0",TEXT(COUNTIF($H$2:H63,H63),0)),_xlfn.CONCAT("",TEXT(COUNTIF($H$2:H63,H63),0))))</f>
        <v>43</v>
      </c>
    </row>
    <row r="64" spans="1:9" x14ac:dyDescent="0.25">
      <c r="A64" t="str">
        <f t="shared" ref="A64:A127" ca="1" si="9">G64</f>
        <v>.44</v>
      </c>
      <c r="F64">
        <f t="shared" ca="1" si="8"/>
        <v>0</v>
      </c>
      <c r="G64" t="str">
        <f t="shared" ref="G64:G127" ca="1" si="10">_xlfn.CONCAT(H64,".",I64)</f>
        <v>.44</v>
      </c>
      <c r="H64" t="str" cm="1">
        <f t="array" ref="H64">IF(ISERR(SEARCH(".pdf",C64,1)),"",FolderNumber(B64))</f>
        <v/>
      </c>
      <c r="I64" t="str">
        <f ca="1">IF(COUNTIF($H$2:H64,H64)&gt;99,COUNTIF($H$2:H64,H64), IF(COUNTIF($H$2:H64,H64)&lt;10,_xlfn.CONCAT("0",TEXT(COUNTIF($H$2:H64,H64),0)),_xlfn.CONCAT("",TEXT(COUNTIF($H$2:H64,H64),0))))</f>
        <v>44</v>
      </c>
    </row>
    <row r="65" spans="1:9" x14ac:dyDescent="0.25">
      <c r="A65" t="str">
        <f t="shared" ca="1" si="9"/>
        <v>.45</v>
      </c>
      <c r="F65">
        <f t="shared" ca="1" si="8"/>
        <v>0</v>
      </c>
      <c r="G65" t="str">
        <f t="shared" ca="1" si="10"/>
        <v>.45</v>
      </c>
      <c r="H65" t="str" cm="1">
        <f t="array" ref="H65">IF(ISERR(SEARCH(".pdf",C65,1)),"",FolderNumber(B65))</f>
        <v/>
      </c>
      <c r="I65" t="str">
        <f ca="1">IF(COUNTIF($H$2:H65,H65)&gt;99,COUNTIF($H$2:H65,H65), IF(COUNTIF($H$2:H65,H65)&lt;10,_xlfn.CONCAT("0",TEXT(COUNTIF($H$2:H65,H65),0)),_xlfn.CONCAT("",TEXT(COUNTIF($H$2:H65,H65),0))))</f>
        <v>45</v>
      </c>
    </row>
    <row r="66" spans="1:9" x14ac:dyDescent="0.25">
      <c r="A66" t="str">
        <f t="shared" ca="1" si="9"/>
        <v>.46</v>
      </c>
      <c r="F66">
        <f t="shared" ca="1" si="8"/>
        <v>0</v>
      </c>
      <c r="G66" t="str">
        <f t="shared" ca="1" si="10"/>
        <v>.46</v>
      </c>
      <c r="H66" t="str" cm="1">
        <f t="array" ref="H66">IF(ISERR(SEARCH(".pdf",C66,1)),"",FolderNumber(B66))</f>
        <v/>
      </c>
      <c r="I66" t="str">
        <f ca="1">IF(COUNTIF($H$2:H66,H66)&gt;99,COUNTIF($H$2:H66,H66), IF(COUNTIF($H$2:H66,H66)&lt;10,_xlfn.CONCAT("0",TEXT(COUNTIF($H$2:H66,H66),0)),_xlfn.CONCAT("",TEXT(COUNTIF($H$2:H66,H66),0))))</f>
        <v>46</v>
      </c>
    </row>
    <row r="67" spans="1:9" x14ac:dyDescent="0.25">
      <c r="A67" t="str">
        <f t="shared" ca="1" si="9"/>
        <v>.47</v>
      </c>
      <c r="F67">
        <f t="shared" ca="1" si="8"/>
        <v>0</v>
      </c>
      <c r="G67" t="str">
        <f t="shared" ca="1" si="10"/>
        <v>.47</v>
      </c>
      <c r="H67" t="str" cm="1">
        <f t="array" ref="H67">IF(ISERR(SEARCH(".pdf",C67,1)),"",FolderNumber(B67))</f>
        <v/>
      </c>
      <c r="I67" t="str">
        <f ca="1">IF(COUNTIF($H$2:H67,H67)&gt;99,COUNTIF($H$2:H67,H67), IF(COUNTIF($H$2:H67,H67)&lt;10,_xlfn.CONCAT("0",TEXT(COUNTIF($H$2:H67,H67),0)),_xlfn.CONCAT("",TEXT(COUNTIF($H$2:H67,H67),0))))</f>
        <v>47</v>
      </c>
    </row>
    <row r="68" spans="1:9" x14ac:dyDescent="0.25">
      <c r="A68" t="str">
        <f t="shared" ca="1" si="9"/>
        <v>.48</v>
      </c>
      <c r="F68">
        <f t="shared" ca="1" si="8"/>
        <v>0</v>
      </c>
      <c r="G68" t="str">
        <f t="shared" ca="1" si="10"/>
        <v>.48</v>
      </c>
      <c r="H68" t="str" cm="1">
        <f t="array" ref="H68">IF(ISERR(SEARCH(".pdf",C68,1)),"",FolderNumber(B68))</f>
        <v/>
      </c>
      <c r="I68" t="str">
        <f ca="1">IF(COUNTIF($H$2:H68,H68)&gt;99,COUNTIF($H$2:H68,H68), IF(COUNTIF($H$2:H68,H68)&lt;10,_xlfn.CONCAT("0",TEXT(COUNTIF($H$2:H68,H68),0)),_xlfn.CONCAT("",TEXT(COUNTIF($H$2:H68,H68),0))))</f>
        <v>48</v>
      </c>
    </row>
    <row r="69" spans="1:9" x14ac:dyDescent="0.25">
      <c r="A69" t="str">
        <f t="shared" ca="1" si="9"/>
        <v>.49</v>
      </c>
      <c r="F69">
        <f t="shared" ca="1" si="8"/>
        <v>0</v>
      </c>
      <c r="G69" t="str">
        <f t="shared" ca="1" si="10"/>
        <v>.49</v>
      </c>
      <c r="H69" t="str" cm="1">
        <f t="array" ref="H69">IF(ISERR(SEARCH(".pdf",C69,1)),"",FolderNumber(B69))</f>
        <v/>
      </c>
      <c r="I69" t="str">
        <f ca="1">IF(COUNTIF($H$2:H69,H69)&gt;99,COUNTIF($H$2:H69,H69), IF(COUNTIF($H$2:H69,H69)&lt;10,_xlfn.CONCAT("0",TEXT(COUNTIF($H$2:H69,H69),0)),_xlfn.CONCAT("",TEXT(COUNTIF($H$2:H69,H69),0))))</f>
        <v>49</v>
      </c>
    </row>
    <row r="70" spans="1:9" x14ac:dyDescent="0.25">
      <c r="A70" t="str">
        <f t="shared" ca="1" si="9"/>
        <v>.50</v>
      </c>
      <c r="F70">
        <f t="shared" ca="1" si="8"/>
        <v>0</v>
      </c>
      <c r="G70" t="str">
        <f t="shared" ca="1" si="10"/>
        <v>.50</v>
      </c>
      <c r="H70" t="str" cm="1">
        <f t="array" ref="H70">IF(ISERR(SEARCH(".pdf",C70,1)),"",FolderNumber(B70))</f>
        <v/>
      </c>
      <c r="I70" t="str">
        <f ca="1">IF(COUNTIF($H$2:H70,H70)&gt;99,COUNTIF($H$2:H70,H70), IF(COUNTIF($H$2:H70,H70)&lt;10,_xlfn.CONCAT("0",TEXT(COUNTIF($H$2:H70,H70),0)),_xlfn.CONCAT("",TEXT(COUNTIF($H$2:H70,H70),0))))</f>
        <v>50</v>
      </c>
    </row>
    <row r="71" spans="1:9" x14ac:dyDescent="0.25">
      <c r="A71" t="str">
        <f t="shared" ca="1" si="9"/>
        <v>.51</v>
      </c>
      <c r="F71">
        <f t="shared" ca="1" si="8"/>
        <v>0</v>
      </c>
      <c r="G71" t="str">
        <f t="shared" ca="1" si="10"/>
        <v>.51</v>
      </c>
      <c r="H71" t="str" cm="1">
        <f t="array" ref="H71">IF(ISERR(SEARCH(".pdf",C71,1)),"",FolderNumber(B71))</f>
        <v/>
      </c>
      <c r="I71" t="str">
        <f ca="1">IF(COUNTIF($H$2:H71,H71)&gt;99,COUNTIF($H$2:H71,H71), IF(COUNTIF($H$2:H71,H71)&lt;10,_xlfn.CONCAT("0",TEXT(COUNTIF($H$2:H71,H71),0)),_xlfn.CONCAT("",TEXT(COUNTIF($H$2:H71,H71),0))))</f>
        <v>51</v>
      </c>
    </row>
    <row r="72" spans="1:9" x14ac:dyDescent="0.25">
      <c r="A72" t="str">
        <f t="shared" ca="1" si="9"/>
        <v>.52</v>
      </c>
      <c r="F72">
        <f t="shared" ca="1" si="8"/>
        <v>0</v>
      </c>
      <c r="G72" t="str">
        <f t="shared" ca="1" si="10"/>
        <v>.52</v>
      </c>
      <c r="H72" t="str" cm="1">
        <f t="array" ref="H72">IF(ISERR(SEARCH(".pdf",C72,1)),"",FolderNumber(B72))</f>
        <v/>
      </c>
      <c r="I72" t="str">
        <f ca="1">IF(COUNTIF($H$2:H72,H72)&gt;99,COUNTIF($H$2:H72,H72), IF(COUNTIF($H$2:H72,H72)&lt;10,_xlfn.CONCAT("0",TEXT(COUNTIF($H$2:H72,H72),0)),_xlfn.CONCAT("",TEXT(COUNTIF($H$2:H72,H72),0))))</f>
        <v>52</v>
      </c>
    </row>
    <row r="73" spans="1:9" x14ac:dyDescent="0.25">
      <c r="A73" t="str">
        <f t="shared" ca="1" si="9"/>
        <v>.53</v>
      </c>
      <c r="F73">
        <f t="shared" ca="1" si="8"/>
        <v>0</v>
      </c>
      <c r="G73" t="str">
        <f t="shared" ca="1" si="10"/>
        <v>.53</v>
      </c>
      <c r="H73" t="str" cm="1">
        <f t="array" ref="H73">IF(ISERR(SEARCH(".pdf",C73,1)),"",FolderNumber(B73))</f>
        <v/>
      </c>
      <c r="I73" t="str">
        <f ca="1">IF(COUNTIF($H$2:H73,H73)&gt;99,COUNTIF($H$2:H73,H73), IF(COUNTIF($H$2:H73,H73)&lt;10,_xlfn.CONCAT("0",TEXT(COUNTIF($H$2:H73,H73),0)),_xlfn.CONCAT("",TEXT(COUNTIF($H$2:H73,H73),0))))</f>
        <v>53</v>
      </c>
    </row>
    <row r="74" spans="1:9" x14ac:dyDescent="0.25">
      <c r="A74" t="str">
        <f t="shared" ca="1" si="9"/>
        <v>.54</v>
      </c>
      <c r="F74">
        <f t="shared" ca="1" si="8"/>
        <v>0</v>
      </c>
      <c r="G74" t="str">
        <f t="shared" ca="1" si="10"/>
        <v>.54</v>
      </c>
      <c r="H74" t="str" cm="1">
        <f t="array" ref="H74">IF(ISERR(SEARCH(".pdf",C74,1)),"",FolderNumber(B74))</f>
        <v/>
      </c>
      <c r="I74" t="str">
        <f ca="1">IF(COUNTIF($H$2:H74,H74)&gt;99,COUNTIF($H$2:H74,H74), IF(COUNTIF($H$2:H74,H74)&lt;10,_xlfn.CONCAT("0",TEXT(COUNTIF($H$2:H74,H74),0)),_xlfn.CONCAT("",TEXT(COUNTIF($H$2:H74,H74),0))))</f>
        <v>54</v>
      </c>
    </row>
    <row r="75" spans="1:9" x14ac:dyDescent="0.25">
      <c r="A75" t="str">
        <f t="shared" ca="1" si="9"/>
        <v>.55</v>
      </c>
      <c r="F75">
        <f t="shared" ca="1" si="8"/>
        <v>0</v>
      </c>
      <c r="G75" t="str">
        <f t="shared" ca="1" si="10"/>
        <v>.55</v>
      </c>
      <c r="H75" t="str" cm="1">
        <f t="array" ref="H75">IF(ISERR(SEARCH(".pdf",C75,1)),"",FolderNumber(B75))</f>
        <v/>
      </c>
      <c r="I75" t="str">
        <f ca="1">IF(COUNTIF($H$2:H75,H75)&gt;99,COUNTIF($H$2:H75,H75), IF(COUNTIF($H$2:H75,H75)&lt;10,_xlfn.CONCAT("0",TEXT(COUNTIF($H$2:H75,H75),0)),_xlfn.CONCAT("",TEXT(COUNTIF($H$2:H75,H75),0))))</f>
        <v>55</v>
      </c>
    </row>
    <row r="76" spans="1:9" x14ac:dyDescent="0.25">
      <c r="A76" t="str">
        <f t="shared" ca="1" si="9"/>
        <v>.56</v>
      </c>
      <c r="F76">
        <f t="shared" ca="1" si="8"/>
        <v>0</v>
      </c>
      <c r="G76" t="str">
        <f t="shared" ca="1" si="10"/>
        <v>.56</v>
      </c>
      <c r="H76" t="str" cm="1">
        <f t="array" ref="H76">IF(ISERR(SEARCH(".pdf",C76,1)),"",FolderNumber(B76))</f>
        <v/>
      </c>
      <c r="I76" t="str">
        <f ca="1">IF(COUNTIF($H$2:H76,H76)&gt;99,COUNTIF($H$2:H76,H76), IF(COUNTIF($H$2:H76,H76)&lt;10,_xlfn.CONCAT("0",TEXT(COUNTIF($H$2:H76,H76),0)),_xlfn.CONCAT("",TEXT(COUNTIF($H$2:H76,H76),0))))</f>
        <v>56</v>
      </c>
    </row>
    <row r="77" spans="1:9" x14ac:dyDescent="0.25">
      <c r="A77" t="str">
        <f t="shared" ca="1" si="9"/>
        <v>.57</v>
      </c>
      <c r="F77">
        <f t="shared" ca="1" si="8"/>
        <v>0</v>
      </c>
      <c r="G77" t="str">
        <f t="shared" ca="1" si="10"/>
        <v>.57</v>
      </c>
      <c r="H77" t="str" cm="1">
        <f t="array" ref="H77">IF(ISERR(SEARCH(".pdf",C77,1)),"",FolderNumber(B77))</f>
        <v/>
      </c>
      <c r="I77" t="str">
        <f ca="1">IF(COUNTIF($H$2:H77,H77)&gt;99,COUNTIF($H$2:H77,H77), IF(COUNTIF($H$2:H77,H77)&lt;10,_xlfn.CONCAT("0",TEXT(COUNTIF($H$2:H77,H77),0)),_xlfn.CONCAT("",TEXT(COUNTIF($H$2:H77,H77),0))))</f>
        <v>57</v>
      </c>
    </row>
    <row r="78" spans="1:9" x14ac:dyDescent="0.25">
      <c r="A78" t="str">
        <f t="shared" ca="1" si="9"/>
        <v>.58</v>
      </c>
      <c r="F78">
        <f t="shared" ca="1" si="8"/>
        <v>0</v>
      </c>
      <c r="G78" t="str">
        <f t="shared" ca="1" si="10"/>
        <v>.58</v>
      </c>
      <c r="H78" t="str" cm="1">
        <f t="array" ref="H78">IF(ISERR(SEARCH(".pdf",C78,1)),"",FolderNumber(B78))</f>
        <v/>
      </c>
      <c r="I78" t="str">
        <f ca="1">IF(COUNTIF($H$2:H78,H78)&gt;99,COUNTIF($H$2:H78,H78), IF(COUNTIF($H$2:H78,H78)&lt;10,_xlfn.CONCAT("0",TEXT(COUNTIF($H$2:H78,H78),0)),_xlfn.CONCAT("",TEXT(COUNTIF($H$2:H78,H78),0))))</f>
        <v>58</v>
      </c>
    </row>
    <row r="79" spans="1:9" x14ac:dyDescent="0.25">
      <c r="A79" t="str">
        <f t="shared" ca="1" si="9"/>
        <v>.59</v>
      </c>
      <c r="F79">
        <f t="shared" ca="1" si="8"/>
        <v>0</v>
      </c>
      <c r="G79" t="str">
        <f t="shared" ca="1" si="10"/>
        <v>.59</v>
      </c>
      <c r="H79" t="str" cm="1">
        <f t="array" ref="H79">IF(ISERR(SEARCH(".pdf",C79,1)),"",FolderNumber(B79))</f>
        <v/>
      </c>
      <c r="I79" t="str">
        <f ca="1">IF(COUNTIF($H$2:H79,H79)&gt;99,COUNTIF($H$2:H79,H79), IF(COUNTIF($H$2:H79,H79)&lt;10,_xlfn.CONCAT("0",TEXT(COUNTIF($H$2:H79,H79),0)),_xlfn.CONCAT("",TEXT(COUNTIF($H$2:H79,H79),0))))</f>
        <v>59</v>
      </c>
    </row>
    <row r="80" spans="1:9" x14ac:dyDescent="0.25">
      <c r="A80" t="str">
        <f t="shared" ca="1" si="9"/>
        <v>.60</v>
      </c>
      <c r="F80">
        <f t="shared" ca="1" si="8"/>
        <v>0</v>
      </c>
      <c r="G80" t="str">
        <f t="shared" ca="1" si="10"/>
        <v>.60</v>
      </c>
      <c r="H80" t="str" cm="1">
        <f t="array" ref="H80">IF(ISERR(SEARCH(".pdf",C80,1)),"",FolderNumber(B80))</f>
        <v/>
      </c>
      <c r="I80" t="str">
        <f ca="1">IF(COUNTIF($H$2:H80,H80)&gt;99,COUNTIF($H$2:H80,H80), IF(COUNTIF($H$2:H80,H80)&lt;10,_xlfn.CONCAT("0",TEXT(COUNTIF($H$2:H80,H80),0)),_xlfn.CONCAT("",TEXT(COUNTIF($H$2:H80,H80),0))))</f>
        <v>60</v>
      </c>
    </row>
    <row r="81" spans="1:9" x14ac:dyDescent="0.25">
      <c r="A81" t="str">
        <f t="shared" ca="1" si="9"/>
        <v>.61</v>
      </c>
      <c r="F81">
        <f t="shared" ca="1" si="8"/>
        <v>0</v>
      </c>
      <c r="G81" t="str">
        <f t="shared" ca="1" si="10"/>
        <v>.61</v>
      </c>
      <c r="H81" t="str" cm="1">
        <f t="array" ref="H81">IF(ISERR(SEARCH(".pdf",C81,1)),"",FolderNumber(B81))</f>
        <v/>
      </c>
      <c r="I81" t="str">
        <f ca="1">IF(COUNTIF($H$2:H81,H81)&gt;99,COUNTIF($H$2:H81,H81), IF(COUNTIF($H$2:H81,H81)&lt;10,_xlfn.CONCAT("0",TEXT(COUNTIF($H$2:H81,H81),0)),_xlfn.CONCAT("",TEXT(COUNTIF($H$2:H81,H81),0))))</f>
        <v>61</v>
      </c>
    </row>
    <row r="82" spans="1:9" x14ac:dyDescent="0.25">
      <c r="A82" t="str">
        <f t="shared" ca="1" si="9"/>
        <v>.62</v>
      </c>
      <c r="F82">
        <f t="shared" ca="1" si="8"/>
        <v>0</v>
      </c>
      <c r="G82" t="str">
        <f t="shared" ca="1" si="10"/>
        <v>.62</v>
      </c>
      <c r="H82" t="str" cm="1">
        <f t="array" ref="H82">IF(ISERR(SEARCH(".pdf",C82,1)),"",FolderNumber(B82))</f>
        <v/>
      </c>
      <c r="I82" t="str">
        <f ca="1">IF(COUNTIF($H$2:H82,H82)&gt;99,COUNTIF($H$2:H82,H82), IF(COUNTIF($H$2:H82,H82)&lt;10,_xlfn.CONCAT("0",TEXT(COUNTIF($H$2:H82,H82),0)),_xlfn.CONCAT("",TEXT(COUNTIF($H$2:H82,H82),0))))</f>
        <v>62</v>
      </c>
    </row>
    <row r="83" spans="1:9" x14ac:dyDescent="0.25">
      <c r="A83" t="str">
        <f t="shared" ca="1" si="9"/>
        <v>.63</v>
      </c>
      <c r="F83">
        <f t="shared" ca="1" si="8"/>
        <v>0</v>
      </c>
      <c r="G83" t="str">
        <f t="shared" ca="1" si="10"/>
        <v>.63</v>
      </c>
      <c r="H83" t="str" cm="1">
        <f t="array" ref="H83">IF(ISERR(SEARCH(".pdf",C83,1)),"",FolderNumber(B83))</f>
        <v/>
      </c>
      <c r="I83" t="str">
        <f ca="1">IF(COUNTIF($H$2:H83,H83)&gt;99,COUNTIF($H$2:H83,H83), IF(COUNTIF($H$2:H83,H83)&lt;10,_xlfn.CONCAT("0",TEXT(COUNTIF($H$2:H83,H83),0)),_xlfn.CONCAT("",TEXT(COUNTIF($H$2:H83,H83),0))))</f>
        <v>63</v>
      </c>
    </row>
    <row r="84" spans="1:9" x14ac:dyDescent="0.25">
      <c r="A84" t="str">
        <f t="shared" ca="1" si="9"/>
        <v>.64</v>
      </c>
      <c r="F84">
        <f t="shared" ca="1" si="8"/>
        <v>0</v>
      </c>
      <c r="G84" t="str">
        <f t="shared" ca="1" si="10"/>
        <v>.64</v>
      </c>
      <c r="H84" t="str" cm="1">
        <f t="array" ref="H84">IF(ISERR(SEARCH(".pdf",C84,1)),"",FolderNumber(B84))</f>
        <v/>
      </c>
      <c r="I84" t="str">
        <f ca="1">IF(COUNTIF($H$2:H84,H84)&gt;99,COUNTIF($H$2:H84,H84), IF(COUNTIF($H$2:H84,H84)&lt;10,_xlfn.CONCAT("0",TEXT(COUNTIF($H$2:H84,H84),0)),_xlfn.CONCAT("",TEXT(COUNTIF($H$2:H84,H84),0))))</f>
        <v>64</v>
      </c>
    </row>
    <row r="85" spans="1:9" x14ac:dyDescent="0.25">
      <c r="A85" t="str">
        <f t="shared" ca="1" si="9"/>
        <v>.65</v>
      </c>
      <c r="F85">
        <f t="shared" ca="1" si="8"/>
        <v>0</v>
      </c>
      <c r="G85" t="str">
        <f t="shared" ca="1" si="10"/>
        <v>.65</v>
      </c>
      <c r="H85" t="str" cm="1">
        <f t="array" ref="H85">IF(ISERR(SEARCH(".pdf",C85,1)),"",FolderNumber(B85))</f>
        <v/>
      </c>
      <c r="I85" t="str">
        <f ca="1">IF(COUNTIF($H$2:H85,H85)&gt;99,COUNTIF($H$2:H85,H85), IF(COUNTIF($H$2:H85,H85)&lt;10,_xlfn.CONCAT("0",TEXT(COUNTIF($H$2:H85,H85),0)),_xlfn.CONCAT("",TEXT(COUNTIF($H$2:H85,H85),0))))</f>
        <v>65</v>
      </c>
    </row>
    <row r="86" spans="1:9" x14ac:dyDescent="0.25">
      <c r="A86" t="str">
        <f t="shared" ca="1" si="9"/>
        <v>.66</v>
      </c>
      <c r="F86">
        <f t="shared" ca="1" si="8"/>
        <v>0</v>
      </c>
      <c r="G86" t="str">
        <f t="shared" ca="1" si="10"/>
        <v>.66</v>
      </c>
      <c r="H86" t="str" cm="1">
        <f t="array" ref="H86">IF(ISERR(SEARCH(".pdf",C86,1)),"",FolderNumber(B86))</f>
        <v/>
      </c>
      <c r="I86" t="str">
        <f ca="1">IF(COUNTIF($H$2:H86,H86)&gt;99,COUNTIF($H$2:H86,H86), IF(COUNTIF($H$2:H86,H86)&lt;10,_xlfn.CONCAT("0",TEXT(COUNTIF($H$2:H86,H86),0)),_xlfn.CONCAT("",TEXT(COUNTIF($H$2:H86,H86),0))))</f>
        <v>66</v>
      </c>
    </row>
    <row r="87" spans="1:9" x14ac:dyDescent="0.25">
      <c r="A87" t="str">
        <f t="shared" ca="1" si="9"/>
        <v>.67</v>
      </c>
      <c r="F87">
        <f t="shared" ca="1" si="8"/>
        <v>0</v>
      </c>
      <c r="G87" t="str">
        <f t="shared" ca="1" si="10"/>
        <v>.67</v>
      </c>
      <c r="H87" t="str" cm="1">
        <f t="array" ref="H87">IF(ISERR(SEARCH(".pdf",C87,1)),"",FolderNumber(B87))</f>
        <v/>
      </c>
      <c r="I87" t="str">
        <f ca="1">IF(COUNTIF($H$2:H87,H87)&gt;99,COUNTIF($H$2:H87,H87), IF(COUNTIF($H$2:H87,H87)&lt;10,_xlfn.CONCAT("0",TEXT(COUNTIF($H$2:H87,H87),0)),_xlfn.CONCAT("",TEXT(COUNTIF($H$2:H87,H87),0))))</f>
        <v>67</v>
      </c>
    </row>
    <row r="88" spans="1:9" x14ac:dyDescent="0.25">
      <c r="A88" t="str">
        <f t="shared" ca="1" si="9"/>
        <v>.68</v>
      </c>
      <c r="F88">
        <f t="shared" ca="1" si="8"/>
        <v>0</v>
      </c>
      <c r="G88" t="str">
        <f t="shared" ca="1" si="10"/>
        <v>.68</v>
      </c>
      <c r="H88" t="str" cm="1">
        <f t="array" ref="H88">IF(ISERR(SEARCH(".pdf",C88,1)),"",FolderNumber(B88))</f>
        <v/>
      </c>
      <c r="I88" t="str">
        <f ca="1">IF(COUNTIF($H$2:H88,H88)&gt;99,COUNTIF($H$2:H88,H88), IF(COUNTIF($H$2:H88,H88)&lt;10,_xlfn.CONCAT("0",TEXT(COUNTIF($H$2:H88,H88),0)),_xlfn.CONCAT("",TEXT(COUNTIF($H$2:H88,H88),0))))</f>
        <v>68</v>
      </c>
    </row>
    <row r="89" spans="1:9" x14ac:dyDescent="0.25">
      <c r="A89" t="str">
        <f t="shared" ca="1" si="9"/>
        <v>.69</v>
      </c>
      <c r="F89">
        <f t="shared" ca="1" si="8"/>
        <v>0</v>
      </c>
      <c r="G89" t="str">
        <f t="shared" ca="1" si="10"/>
        <v>.69</v>
      </c>
      <c r="H89" t="str" cm="1">
        <f t="array" ref="H89">IF(ISERR(SEARCH(".pdf",C89,1)),"",FolderNumber(B89))</f>
        <v/>
      </c>
      <c r="I89" t="str">
        <f ca="1">IF(COUNTIF($H$2:H89,H89)&gt;99,COUNTIF($H$2:H89,H89), IF(COUNTIF($H$2:H89,H89)&lt;10,_xlfn.CONCAT("0",TEXT(COUNTIF($H$2:H89,H89),0)),_xlfn.CONCAT("",TEXT(COUNTIF($H$2:H89,H89),0))))</f>
        <v>69</v>
      </c>
    </row>
    <row r="90" spans="1:9" x14ac:dyDescent="0.25">
      <c r="A90" t="str">
        <f t="shared" ca="1" si="9"/>
        <v>.70</v>
      </c>
      <c r="F90">
        <f t="shared" ca="1" si="8"/>
        <v>0</v>
      </c>
      <c r="G90" t="str">
        <f t="shared" ca="1" si="10"/>
        <v>.70</v>
      </c>
      <c r="H90" t="str" cm="1">
        <f t="array" ref="H90">IF(ISERR(SEARCH(".pdf",C90,1)),"",FolderNumber(B90))</f>
        <v/>
      </c>
      <c r="I90" t="str">
        <f ca="1">IF(COUNTIF($H$2:H90,H90)&gt;99,COUNTIF($H$2:H90,H90), IF(COUNTIF($H$2:H90,H90)&lt;10,_xlfn.CONCAT("0",TEXT(COUNTIF($H$2:H90,H90),0)),_xlfn.CONCAT("",TEXT(COUNTIF($H$2:H90,H90),0))))</f>
        <v>70</v>
      </c>
    </row>
    <row r="91" spans="1:9" x14ac:dyDescent="0.25">
      <c r="A91" t="str">
        <f t="shared" ca="1" si="9"/>
        <v>.71</v>
      </c>
      <c r="F91">
        <f t="shared" ref="F91:F154" ca="1" si="11">IF(OR(ISERR(SEARCH(".pdf",C91,1)),ISBLANK(G91)),C91,_xlfn.CONCAT(A91," - ",C91))</f>
        <v>0</v>
      </c>
      <c r="G91" t="str">
        <f t="shared" ca="1" si="10"/>
        <v>.71</v>
      </c>
      <c r="H91" t="str" cm="1">
        <f t="array" ref="H91">IF(ISERR(SEARCH(".pdf",C91,1)),"",FolderNumber(B91))</f>
        <v/>
      </c>
      <c r="I91" t="str">
        <f ca="1">IF(COUNTIF($H$2:H91,H91)&gt;99,COUNTIF($H$2:H91,H91), IF(COUNTIF($H$2:H91,H91)&lt;10,_xlfn.CONCAT("0",TEXT(COUNTIF($H$2:H91,H91),0)),_xlfn.CONCAT("",TEXT(COUNTIF($H$2:H91,H91),0))))</f>
        <v>71</v>
      </c>
    </row>
    <row r="92" spans="1:9" x14ac:dyDescent="0.25">
      <c r="A92" t="str">
        <f t="shared" ca="1" si="9"/>
        <v>.72</v>
      </c>
      <c r="F92">
        <f t="shared" ca="1" si="11"/>
        <v>0</v>
      </c>
      <c r="G92" t="str">
        <f t="shared" ca="1" si="10"/>
        <v>.72</v>
      </c>
      <c r="H92" t="str" cm="1">
        <f t="array" ref="H92">IF(ISERR(SEARCH(".pdf",C92,1)),"",FolderNumber(B92))</f>
        <v/>
      </c>
      <c r="I92" t="str">
        <f ca="1">IF(COUNTIF($H$2:H92,H92)&gt;99,COUNTIF($H$2:H92,H92), IF(COUNTIF($H$2:H92,H92)&lt;10,_xlfn.CONCAT("0",TEXT(COUNTIF($H$2:H92,H92),0)),_xlfn.CONCAT("",TEXT(COUNTIF($H$2:H92,H92),0))))</f>
        <v>72</v>
      </c>
    </row>
    <row r="93" spans="1:9" x14ac:dyDescent="0.25">
      <c r="A93" t="str">
        <f t="shared" ca="1" si="9"/>
        <v>.73</v>
      </c>
      <c r="F93">
        <f t="shared" ca="1" si="11"/>
        <v>0</v>
      </c>
      <c r="G93" t="str">
        <f t="shared" ca="1" si="10"/>
        <v>.73</v>
      </c>
      <c r="H93" t="str" cm="1">
        <f t="array" ref="H93">IF(ISERR(SEARCH(".pdf",C93,1)),"",FolderNumber(B93))</f>
        <v/>
      </c>
      <c r="I93" t="str">
        <f ca="1">IF(COUNTIF($H$2:H93,H93)&gt;99,COUNTIF($H$2:H93,H93), IF(COUNTIF($H$2:H93,H93)&lt;10,_xlfn.CONCAT("0",TEXT(COUNTIF($H$2:H93,H93),0)),_xlfn.CONCAT("",TEXT(COUNTIF($H$2:H93,H93),0))))</f>
        <v>73</v>
      </c>
    </row>
    <row r="94" spans="1:9" x14ac:dyDescent="0.25">
      <c r="A94" t="str">
        <f t="shared" ca="1" si="9"/>
        <v>.74</v>
      </c>
      <c r="F94">
        <f t="shared" ca="1" si="11"/>
        <v>0</v>
      </c>
      <c r="G94" t="str">
        <f t="shared" ca="1" si="10"/>
        <v>.74</v>
      </c>
      <c r="H94" t="str" cm="1">
        <f t="array" ref="H94">IF(ISERR(SEARCH(".pdf",C94,1)),"",FolderNumber(B94))</f>
        <v/>
      </c>
      <c r="I94" t="str">
        <f ca="1">IF(COUNTIF($H$2:H94,H94)&gt;99,COUNTIF($H$2:H94,H94), IF(COUNTIF($H$2:H94,H94)&lt;10,_xlfn.CONCAT("0",TEXT(COUNTIF($H$2:H94,H94),0)),_xlfn.CONCAT("",TEXT(COUNTIF($H$2:H94,H94),0))))</f>
        <v>74</v>
      </c>
    </row>
    <row r="95" spans="1:9" x14ac:dyDescent="0.25">
      <c r="A95" t="str">
        <f t="shared" ca="1" si="9"/>
        <v>.75</v>
      </c>
      <c r="F95">
        <f t="shared" ca="1" si="11"/>
        <v>0</v>
      </c>
      <c r="G95" t="str">
        <f t="shared" ca="1" si="10"/>
        <v>.75</v>
      </c>
      <c r="H95" t="str" cm="1">
        <f t="array" ref="H95">IF(ISERR(SEARCH(".pdf",C95,1)),"",FolderNumber(B95))</f>
        <v/>
      </c>
      <c r="I95" t="str">
        <f ca="1">IF(COUNTIF($H$2:H95,H95)&gt;99,COUNTIF($H$2:H95,H95), IF(COUNTIF($H$2:H95,H95)&lt;10,_xlfn.CONCAT("0",TEXT(COUNTIF($H$2:H95,H95),0)),_xlfn.CONCAT("",TEXT(COUNTIF($H$2:H95,H95),0))))</f>
        <v>75</v>
      </c>
    </row>
    <row r="96" spans="1:9" x14ac:dyDescent="0.25">
      <c r="A96" t="str">
        <f t="shared" ca="1" si="9"/>
        <v>.76</v>
      </c>
      <c r="F96">
        <f t="shared" ca="1" si="11"/>
        <v>0</v>
      </c>
      <c r="G96" t="str">
        <f t="shared" ca="1" si="10"/>
        <v>.76</v>
      </c>
      <c r="H96" t="str" cm="1">
        <f t="array" ref="H96">IF(ISERR(SEARCH(".pdf",C96,1)),"",FolderNumber(B96))</f>
        <v/>
      </c>
      <c r="I96" t="str">
        <f ca="1">IF(COUNTIF($H$2:H96,H96)&gt;99,COUNTIF($H$2:H96,H96), IF(COUNTIF($H$2:H96,H96)&lt;10,_xlfn.CONCAT("0",TEXT(COUNTIF($H$2:H96,H96),0)),_xlfn.CONCAT("",TEXT(COUNTIF($H$2:H96,H96),0))))</f>
        <v>76</v>
      </c>
    </row>
    <row r="97" spans="1:9" x14ac:dyDescent="0.25">
      <c r="A97" t="str">
        <f t="shared" ca="1" si="9"/>
        <v>.77</v>
      </c>
      <c r="F97">
        <f t="shared" ca="1" si="11"/>
        <v>0</v>
      </c>
      <c r="G97" t="str">
        <f t="shared" ca="1" si="10"/>
        <v>.77</v>
      </c>
      <c r="H97" t="str" cm="1">
        <f t="array" ref="H97">IF(ISERR(SEARCH(".pdf",C97,1)),"",FolderNumber(B97))</f>
        <v/>
      </c>
      <c r="I97" t="str">
        <f ca="1">IF(COUNTIF($H$2:H97,H97)&gt;99,COUNTIF($H$2:H97,H97), IF(COUNTIF($H$2:H97,H97)&lt;10,_xlfn.CONCAT("0",TEXT(COUNTIF($H$2:H97,H97),0)),_xlfn.CONCAT("",TEXT(COUNTIF($H$2:H97,H97),0))))</f>
        <v>77</v>
      </c>
    </row>
    <row r="98" spans="1:9" x14ac:dyDescent="0.25">
      <c r="A98" t="str">
        <f t="shared" ca="1" si="9"/>
        <v>.78</v>
      </c>
      <c r="F98">
        <f t="shared" ca="1" si="11"/>
        <v>0</v>
      </c>
      <c r="G98" t="str">
        <f t="shared" ca="1" si="10"/>
        <v>.78</v>
      </c>
      <c r="H98" t="str" cm="1">
        <f t="array" ref="H98">IF(ISERR(SEARCH(".pdf",C98,1)),"",FolderNumber(B98))</f>
        <v/>
      </c>
      <c r="I98" t="str">
        <f ca="1">IF(COUNTIF($H$2:H98,H98)&gt;99,COUNTIF($H$2:H98,H98), IF(COUNTIF($H$2:H98,H98)&lt;10,_xlfn.CONCAT("0",TEXT(COUNTIF($H$2:H98,H98),0)),_xlfn.CONCAT("",TEXT(COUNTIF($H$2:H98,H98),0))))</f>
        <v>78</v>
      </c>
    </row>
    <row r="99" spans="1:9" x14ac:dyDescent="0.25">
      <c r="A99" t="str">
        <f t="shared" ca="1" si="9"/>
        <v>.79</v>
      </c>
      <c r="F99">
        <f t="shared" ca="1" si="11"/>
        <v>0</v>
      </c>
      <c r="G99" t="str">
        <f t="shared" ca="1" si="10"/>
        <v>.79</v>
      </c>
      <c r="H99" t="str" cm="1">
        <f t="array" ref="H99">IF(ISERR(SEARCH(".pdf",C99,1)),"",FolderNumber(B99))</f>
        <v/>
      </c>
      <c r="I99" t="str">
        <f ca="1">IF(COUNTIF($H$2:H99,H99)&gt;99,COUNTIF($H$2:H99,H99), IF(COUNTIF($H$2:H99,H99)&lt;10,_xlfn.CONCAT("0",TEXT(COUNTIF($H$2:H99,H99),0)),_xlfn.CONCAT("",TEXT(COUNTIF($H$2:H99,H99),0))))</f>
        <v>79</v>
      </c>
    </row>
    <row r="100" spans="1:9" x14ac:dyDescent="0.25">
      <c r="A100" t="str">
        <f t="shared" ca="1" si="9"/>
        <v>.80</v>
      </c>
      <c r="F100">
        <f t="shared" ca="1" si="11"/>
        <v>0</v>
      </c>
      <c r="G100" t="str">
        <f t="shared" ca="1" si="10"/>
        <v>.80</v>
      </c>
      <c r="H100" t="str" cm="1">
        <f t="array" ref="H100">IF(ISERR(SEARCH(".pdf",C100,1)),"",FolderNumber(B100))</f>
        <v/>
      </c>
      <c r="I100" t="str">
        <f ca="1">IF(COUNTIF($H$2:H100,H100)&gt;99,COUNTIF($H$2:H100,H100), IF(COUNTIF($H$2:H100,H100)&lt;10,_xlfn.CONCAT("0",TEXT(COUNTIF($H$2:H100,H100),0)),_xlfn.CONCAT("",TEXT(COUNTIF($H$2:H100,H100),0))))</f>
        <v>80</v>
      </c>
    </row>
    <row r="101" spans="1:9" x14ac:dyDescent="0.25">
      <c r="A101" t="str">
        <f t="shared" ca="1" si="9"/>
        <v>.81</v>
      </c>
      <c r="F101">
        <f t="shared" ca="1" si="11"/>
        <v>0</v>
      </c>
      <c r="G101" t="str">
        <f t="shared" ca="1" si="10"/>
        <v>.81</v>
      </c>
      <c r="H101" t="str" cm="1">
        <f t="array" ref="H101">IF(ISERR(SEARCH(".pdf",C101,1)),"",FolderNumber(B101))</f>
        <v/>
      </c>
      <c r="I101" t="str">
        <f ca="1">IF(COUNTIF($H$2:H101,H101)&gt;99,COUNTIF($H$2:H101,H101), IF(COUNTIF($H$2:H101,H101)&lt;10,_xlfn.CONCAT("0",TEXT(COUNTIF($H$2:H101,H101),0)),_xlfn.CONCAT("",TEXT(COUNTIF($H$2:H101,H101),0))))</f>
        <v>81</v>
      </c>
    </row>
    <row r="102" spans="1:9" x14ac:dyDescent="0.25">
      <c r="A102" t="str">
        <f t="shared" ca="1" si="9"/>
        <v>.82</v>
      </c>
      <c r="F102">
        <f t="shared" ca="1" si="11"/>
        <v>0</v>
      </c>
      <c r="G102" t="str">
        <f t="shared" ca="1" si="10"/>
        <v>.82</v>
      </c>
      <c r="H102" t="str" cm="1">
        <f t="array" ref="H102">IF(ISERR(SEARCH(".pdf",C102,1)),"",FolderNumber(B102))</f>
        <v/>
      </c>
      <c r="I102" t="str">
        <f ca="1">IF(COUNTIF($H$2:H102,H102)&gt;99,COUNTIF($H$2:H102,H102), IF(COUNTIF($H$2:H102,H102)&lt;10,_xlfn.CONCAT("0",TEXT(COUNTIF($H$2:H102,H102),0)),_xlfn.CONCAT("",TEXT(COUNTIF($H$2:H102,H102),0))))</f>
        <v>82</v>
      </c>
    </row>
    <row r="103" spans="1:9" x14ac:dyDescent="0.25">
      <c r="A103" t="str">
        <f t="shared" ca="1" si="9"/>
        <v>.83</v>
      </c>
      <c r="F103">
        <f t="shared" ca="1" si="11"/>
        <v>0</v>
      </c>
      <c r="G103" t="str">
        <f t="shared" ca="1" si="10"/>
        <v>.83</v>
      </c>
      <c r="H103" t="str" cm="1">
        <f t="array" ref="H103">IF(ISERR(SEARCH(".pdf",C103,1)),"",FolderNumber(B103))</f>
        <v/>
      </c>
      <c r="I103" t="str">
        <f ca="1">IF(COUNTIF($H$2:H103,H103)&gt;99,COUNTIF($H$2:H103,H103), IF(COUNTIF($H$2:H103,H103)&lt;10,_xlfn.CONCAT("0",TEXT(COUNTIF($H$2:H103,H103),0)),_xlfn.CONCAT("",TEXT(COUNTIF($H$2:H103,H103),0))))</f>
        <v>83</v>
      </c>
    </row>
    <row r="104" spans="1:9" x14ac:dyDescent="0.25">
      <c r="A104" t="str">
        <f t="shared" ca="1" si="9"/>
        <v>.84</v>
      </c>
      <c r="F104">
        <f t="shared" ca="1" si="11"/>
        <v>0</v>
      </c>
      <c r="G104" t="str">
        <f t="shared" ca="1" si="10"/>
        <v>.84</v>
      </c>
      <c r="H104" t="str" cm="1">
        <f t="array" ref="H104">IF(ISERR(SEARCH(".pdf",C104,1)),"",FolderNumber(B104))</f>
        <v/>
      </c>
      <c r="I104" t="str">
        <f ca="1">IF(COUNTIF($H$2:H104,H104)&gt;99,COUNTIF($H$2:H104,H104), IF(COUNTIF($H$2:H104,H104)&lt;10,_xlfn.CONCAT("0",TEXT(COUNTIF($H$2:H104,H104),0)),_xlfn.CONCAT("",TEXT(COUNTIF($H$2:H104,H104),0))))</f>
        <v>84</v>
      </c>
    </row>
    <row r="105" spans="1:9" x14ac:dyDescent="0.25">
      <c r="A105" t="str">
        <f t="shared" ca="1" si="9"/>
        <v>.85</v>
      </c>
      <c r="F105">
        <f t="shared" ca="1" si="11"/>
        <v>0</v>
      </c>
      <c r="G105" t="str">
        <f t="shared" ca="1" si="10"/>
        <v>.85</v>
      </c>
      <c r="H105" t="str" cm="1">
        <f t="array" ref="H105">IF(ISERR(SEARCH(".pdf",C105,1)),"",FolderNumber(B105))</f>
        <v/>
      </c>
      <c r="I105" t="str">
        <f ca="1">IF(COUNTIF($H$2:H105,H105)&gt;99,COUNTIF($H$2:H105,H105), IF(COUNTIF($H$2:H105,H105)&lt;10,_xlfn.CONCAT("0",TEXT(COUNTIF($H$2:H105,H105),0)),_xlfn.CONCAT("",TEXT(COUNTIF($H$2:H105,H105),0))))</f>
        <v>85</v>
      </c>
    </row>
    <row r="106" spans="1:9" x14ac:dyDescent="0.25">
      <c r="A106" t="str">
        <f t="shared" ca="1" si="9"/>
        <v>.86</v>
      </c>
      <c r="F106">
        <f t="shared" ca="1" si="11"/>
        <v>0</v>
      </c>
      <c r="G106" t="str">
        <f t="shared" ca="1" si="10"/>
        <v>.86</v>
      </c>
      <c r="H106" t="str" cm="1">
        <f t="array" ref="H106">IF(ISERR(SEARCH(".pdf",C106,1)),"",FolderNumber(B106))</f>
        <v/>
      </c>
      <c r="I106" t="str">
        <f ca="1">IF(COUNTIF($H$2:H106,H106)&gt;99,COUNTIF($H$2:H106,H106), IF(COUNTIF($H$2:H106,H106)&lt;10,_xlfn.CONCAT("0",TEXT(COUNTIF($H$2:H106,H106),0)),_xlfn.CONCAT("",TEXT(COUNTIF($H$2:H106,H106),0))))</f>
        <v>86</v>
      </c>
    </row>
    <row r="107" spans="1:9" x14ac:dyDescent="0.25">
      <c r="A107" t="str">
        <f t="shared" ca="1" si="9"/>
        <v>.87</v>
      </c>
      <c r="F107">
        <f t="shared" ca="1" si="11"/>
        <v>0</v>
      </c>
      <c r="G107" t="str">
        <f t="shared" ca="1" si="10"/>
        <v>.87</v>
      </c>
      <c r="H107" t="str" cm="1">
        <f t="array" ref="H107">IF(ISERR(SEARCH(".pdf",C107,1)),"",FolderNumber(B107))</f>
        <v/>
      </c>
      <c r="I107" t="str">
        <f ca="1">IF(COUNTIF($H$2:H107,H107)&gt;99,COUNTIF($H$2:H107,H107), IF(COUNTIF($H$2:H107,H107)&lt;10,_xlfn.CONCAT("0",TEXT(COUNTIF($H$2:H107,H107),0)),_xlfn.CONCAT("",TEXT(COUNTIF($H$2:H107,H107),0))))</f>
        <v>87</v>
      </c>
    </row>
    <row r="108" spans="1:9" x14ac:dyDescent="0.25">
      <c r="A108" t="str">
        <f t="shared" ca="1" si="9"/>
        <v>.88</v>
      </c>
      <c r="F108">
        <f t="shared" ca="1" si="11"/>
        <v>0</v>
      </c>
      <c r="G108" t="str">
        <f t="shared" ca="1" si="10"/>
        <v>.88</v>
      </c>
      <c r="H108" t="str" cm="1">
        <f t="array" ref="H108">IF(ISERR(SEARCH(".pdf",C108,1)),"",FolderNumber(B108))</f>
        <v/>
      </c>
      <c r="I108" t="str">
        <f ca="1">IF(COUNTIF($H$2:H108,H108)&gt;99,COUNTIF($H$2:H108,H108), IF(COUNTIF($H$2:H108,H108)&lt;10,_xlfn.CONCAT("0",TEXT(COUNTIF($H$2:H108,H108),0)),_xlfn.CONCAT("",TEXT(COUNTIF($H$2:H108,H108),0))))</f>
        <v>88</v>
      </c>
    </row>
    <row r="109" spans="1:9" x14ac:dyDescent="0.25">
      <c r="A109" t="str">
        <f t="shared" ca="1" si="9"/>
        <v>.89</v>
      </c>
      <c r="F109">
        <f t="shared" ca="1" si="11"/>
        <v>0</v>
      </c>
      <c r="G109" t="str">
        <f t="shared" ca="1" si="10"/>
        <v>.89</v>
      </c>
      <c r="H109" t="str" cm="1">
        <f t="array" ref="H109">IF(ISERR(SEARCH(".pdf",C109,1)),"",FolderNumber(B109))</f>
        <v/>
      </c>
      <c r="I109" t="str">
        <f ca="1">IF(COUNTIF($H$2:H109,H109)&gt;99,COUNTIF($H$2:H109,H109), IF(COUNTIF($H$2:H109,H109)&lt;10,_xlfn.CONCAT("0",TEXT(COUNTIF($H$2:H109,H109),0)),_xlfn.CONCAT("",TEXT(COUNTIF($H$2:H109,H109),0))))</f>
        <v>89</v>
      </c>
    </row>
    <row r="110" spans="1:9" x14ac:dyDescent="0.25">
      <c r="A110" t="str">
        <f t="shared" ca="1" si="9"/>
        <v>.90</v>
      </c>
      <c r="F110">
        <f t="shared" ca="1" si="11"/>
        <v>0</v>
      </c>
      <c r="G110" t="str">
        <f t="shared" ca="1" si="10"/>
        <v>.90</v>
      </c>
      <c r="H110" t="str" cm="1">
        <f t="array" ref="H110">IF(ISERR(SEARCH(".pdf",C110,1)),"",FolderNumber(B110))</f>
        <v/>
      </c>
      <c r="I110" t="str">
        <f ca="1">IF(COUNTIF($H$2:H110,H110)&gt;99,COUNTIF($H$2:H110,H110), IF(COUNTIF($H$2:H110,H110)&lt;10,_xlfn.CONCAT("0",TEXT(COUNTIF($H$2:H110,H110),0)),_xlfn.CONCAT("",TEXT(COUNTIF($H$2:H110,H110),0))))</f>
        <v>90</v>
      </c>
    </row>
    <row r="111" spans="1:9" x14ac:dyDescent="0.25">
      <c r="A111" t="str">
        <f t="shared" ca="1" si="9"/>
        <v>.91</v>
      </c>
      <c r="F111">
        <f t="shared" ca="1" si="11"/>
        <v>0</v>
      </c>
      <c r="G111" t="str">
        <f t="shared" ca="1" si="10"/>
        <v>.91</v>
      </c>
      <c r="H111" t="str" cm="1">
        <f t="array" ref="H111">IF(ISERR(SEARCH(".pdf",C111,1)),"",FolderNumber(B111))</f>
        <v/>
      </c>
      <c r="I111" t="str">
        <f ca="1">IF(COUNTIF($H$2:H111,H111)&gt;99,COUNTIF($H$2:H111,H111), IF(COUNTIF($H$2:H111,H111)&lt;10,_xlfn.CONCAT("0",TEXT(COUNTIF($H$2:H111,H111),0)),_xlfn.CONCAT("",TEXT(COUNTIF($H$2:H111,H111),0))))</f>
        <v>91</v>
      </c>
    </row>
    <row r="112" spans="1:9" x14ac:dyDescent="0.25">
      <c r="A112" t="str">
        <f t="shared" ca="1" si="9"/>
        <v>.92</v>
      </c>
      <c r="F112">
        <f t="shared" ca="1" si="11"/>
        <v>0</v>
      </c>
      <c r="G112" t="str">
        <f t="shared" ca="1" si="10"/>
        <v>.92</v>
      </c>
      <c r="H112" t="str" cm="1">
        <f t="array" ref="H112">IF(ISERR(SEARCH(".pdf",C112,1)),"",FolderNumber(B112))</f>
        <v/>
      </c>
      <c r="I112" t="str">
        <f ca="1">IF(COUNTIF($H$2:H112,H112)&gt;99,COUNTIF($H$2:H112,H112), IF(COUNTIF($H$2:H112,H112)&lt;10,_xlfn.CONCAT("0",TEXT(COUNTIF($H$2:H112,H112),0)),_xlfn.CONCAT("",TEXT(COUNTIF($H$2:H112,H112),0))))</f>
        <v>92</v>
      </c>
    </row>
    <row r="113" spans="1:9" x14ac:dyDescent="0.25">
      <c r="A113" t="str">
        <f t="shared" ca="1" si="9"/>
        <v>.93</v>
      </c>
      <c r="F113">
        <f t="shared" ca="1" si="11"/>
        <v>0</v>
      </c>
      <c r="G113" t="str">
        <f t="shared" ca="1" si="10"/>
        <v>.93</v>
      </c>
      <c r="H113" t="str" cm="1">
        <f t="array" ref="H113">IF(ISERR(SEARCH(".pdf",C113,1)),"",FolderNumber(B113))</f>
        <v/>
      </c>
      <c r="I113" t="str">
        <f ca="1">IF(COUNTIF($H$2:H113,H113)&gt;99,COUNTIF($H$2:H113,H113), IF(COUNTIF($H$2:H113,H113)&lt;10,_xlfn.CONCAT("0",TEXT(COUNTIF($H$2:H113,H113),0)),_xlfn.CONCAT("",TEXT(COUNTIF($H$2:H113,H113),0))))</f>
        <v>93</v>
      </c>
    </row>
    <row r="114" spans="1:9" x14ac:dyDescent="0.25">
      <c r="A114" t="str">
        <f t="shared" ca="1" si="9"/>
        <v>.94</v>
      </c>
      <c r="F114">
        <f t="shared" ca="1" si="11"/>
        <v>0</v>
      </c>
      <c r="G114" t="str">
        <f t="shared" ca="1" si="10"/>
        <v>.94</v>
      </c>
      <c r="H114" t="str" cm="1">
        <f t="array" ref="H114">IF(ISERR(SEARCH(".pdf",C114,1)),"",FolderNumber(B114))</f>
        <v/>
      </c>
      <c r="I114" t="str">
        <f ca="1">IF(COUNTIF($H$2:H114,H114)&gt;99,COUNTIF($H$2:H114,H114), IF(COUNTIF($H$2:H114,H114)&lt;10,_xlfn.CONCAT("0",TEXT(COUNTIF($H$2:H114,H114),0)),_xlfn.CONCAT("",TEXT(COUNTIF($H$2:H114,H114),0))))</f>
        <v>94</v>
      </c>
    </row>
    <row r="115" spans="1:9" x14ac:dyDescent="0.25">
      <c r="A115" t="str">
        <f t="shared" ca="1" si="9"/>
        <v>.95</v>
      </c>
      <c r="F115">
        <f t="shared" ca="1" si="11"/>
        <v>0</v>
      </c>
      <c r="G115" t="str">
        <f t="shared" ca="1" si="10"/>
        <v>.95</v>
      </c>
      <c r="H115" t="str" cm="1">
        <f t="array" ref="H115">IF(ISERR(SEARCH(".pdf",C115,1)),"",FolderNumber(B115))</f>
        <v/>
      </c>
      <c r="I115" t="str">
        <f ca="1">IF(COUNTIF($H$2:H115,H115)&gt;99,COUNTIF($H$2:H115,H115), IF(COUNTIF($H$2:H115,H115)&lt;10,_xlfn.CONCAT("0",TEXT(COUNTIF($H$2:H115,H115),0)),_xlfn.CONCAT("",TEXT(COUNTIF($H$2:H115,H115),0))))</f>
        <v>95</v>
      </c>
    </row>
    <row r="116" spans="1:9" x14ac:dyDescent="0.25">
      <c r="A116" t="str">
        <f t="shared" ca="1" si="9"/>
        <v>.96</v>
      </c>
      <c r="F116">
        <f t="shared" ca="1" si="11"/>
        <v>0</v>
      </c>
      <c r="G116" t="str">
        <f t="shared" ca="1" si="10"/>
        <v>.96</v>
      </c>
      <c r="H116" t="str" cm="1">
        <f t="array" ref="H116">IF(ISERR(SEARCH(".pdf",C116,1)),"",FolderNumber(B116))</f>
        <v/>
      </c>
      <c r="I116" t="str">
        <f ca="1">IF(COUNTIF($H$2:H116,H116)&gt;99,COUNTIF($H$2:H116,H116), IF(COUNTIF($H$2:H116,H116)&lt;10,_xlfn.CONCAT("0",TEXT(COUNTIF($H$2:H116,H116),0)),_xlfn.CONCAT("",TEXT(COUNTIF($H$2:H116,H116),0))))</f>
        <v>96</v>
      </c>
    </row>
    <row r="117" spans="1:9" x14ac:dyDescent="0.25">
      <c r="A117" t="str">
        <f t="shared" ca="1" si="9"/>
        <v>.97</v>
      </c>
      <c r="F117">
        <f t="shared" ca="1" si="11"/>
        <v>0</v>
      </c>
      <c r="G117" t="str">
        <f t="shared" ca="1" si="10"/>
        <v>.97</v>
      </c>
      <c r="H117" t="str" cm="1">
        <f t="array" ref="H117">IF(ISERR(SEARCH(".pdf",C117,1)),"",FolderNumber(B117))</f>
        <v/>
      </c>
      <c r="I117" t="str">
        <f ca="1">IF(COUNTIF($H$2:H117,H117)&gt;99,COUNTIF($H$2:H117,H117), IF(COUNTIF($H$2:H117,H117)&lt;10,_xlfn.CONCAT("0",TEXT(COUNTIF($H$2:H117,H117),0)),_xlfn.CONCAT("",TEXT(COUNTIF($H$2:H117,H117),0))))</f>
        <v>97</v>
      </c>
    </row>
    <row r="118" spans="1:9" x14ac:dyDescent="0.25">
      <c r="A118" t="str">
        <f t="shared" ca="1" si="9"/>
        <v>.98</v>
      </c>
      <c r="F118">
        <f t="shared" ca="1" si="11"/>
        <v>0</v>
      </c>
      <c r="G118" t="str">
        <f t="shared" ca="1" si="10"/>
        <v>.98</v>
      </c>
      <c r="H118" t="str" cm="1">
        <f t="array" ref="H118">IF(ISERR(SEARCH(".pdf",C118,1)),"",FolderNumber(B118))</f>
        <v/>
      </c>
      <c r="I118" t="str">
        <f ca="1">IF(COUNTIF($H$2:H118,H118)&gt;99,COUNTIF($H$2:H118,H118), IF(COUNTIF($H$2:H118,H118)&lt;10,_xlfn.CONCAT("0",TEXT(COUNTIF($H$2:H118,H118),0)),_xlfn.CONCAT("",TEXT(COUNTIF($H$2:H118,H118),0))))</f>
        <v>98</v>
      </c>
    </row>
    <row r="119" spans="1:9" x14ac:dyDescent="0.25">
      <c r="A119" t="str">
        <f t="shared" ca="1" si="9"/>
        <v>.99</v>
      </c>
      <c r="F119">
        <f t="shared" ca="1" si="11"/>
        <v>0</v>
      </c>
      <c r="G119" t="str">
        <f t="shared" ca="1" si="10"/>
        <v>.99</v>
      </c>
      <c r="H119" t="str" cm="1">
        <f t="array" ref="H119">IF(ISERR(SEARCH(".pdf",C119,1)),"",FolderNumber(B119))</f>
        <v/>
      </c>
      <c r="I119" t="str">
        <f ca="1">IF(COUNTIF($H$2:H119,H119)&gt;99,COUNTIF($H$2:H119,H119), IF(COUNTIF($H$2:H119,H119)&lt;10,_xlfn.CONCAT("0",TEXT(COUNTIF($H$2:H119,H119),0)),_xlfn.CONCAT("",TEXT(COUNTIF($H$2:H119,H119),0))))</f>
        <v>99</v>
      </c>
    </row>
    <row r="120" spans="1:9" x14ac:dyDescent="0.25">
      <c r="A120" t="str">
        <f t="shared" ca="1" si="9"/>
        <v>.100</v>
      </c>
      <c r="F120">
        <f t="shared" ca="1" si="11"/>
        <v>0</v>
      </c>
      <c r="G120" t="str">
        <f t="shared" ca="1" si="10"/>
        <v>.100</v>
      </c>
      <c r="H120" t="str" cm="1">
        <f t="array" ref="H120">IF(ISERR(SEARCH(".pdf",C120,1)),"",FolderNumber(B120))</f>
        <v/>
      </c>
      <c r="I120">
        <f ca="1">IF(COUNTIF($H$2:H120,H120)&gt;99,COUNTIF($H$2:H120,H120), IF(COUNTIF($H$2:H120,H120)&lt;10,_xlfn.CONCAT("0",TEXT(COUNTIF($H$2:H120,H120),0)),_xlfn.CONCAT("",TEXT(COUNTIF($H$2:H120,H120),0))))</f>
        <v>100</v>
      </c>
    </row>
    <row r="121" spans="1:9" x14ac:dyDescent="0.25">
      <c r="A121" t="str">
        <f t="shared" ca="1" si="9"/>
        <v>.101</v>
      </c>
      <c r="F121">
        <f t="shared" ca="1" si="11"/>
        <v>0</v>
      </c>
      <c r="G121" t="str">
        <f t="shared" ca="1" si="10"/>
        <v>.101</v>
      </c>
      <c r="H121" t="str" cm="1">
        <f t="array" ref="H121">IF(ISERR(SEARCH(".pdf",C121,1)),"",FolderNumber(B121))</f>
        <v/>
      </c>
      <c r="I121">
        <f ca="1">IF(COUNTIF($H$2:H121,H121)&gt;99,COUNTIF($H$2:H121,H121), IF(COUNTIF($H$2:H121,H121)&lt;10,_xlfn.CONCAT("0",TEXT(COUNTIF($H$2:H121,H121),0)),_xlfn.CONCAT("",TEXT(COUNTIF($H$2:H121,H121),0))))</f>
        <v>101</v>
      </c>
    </row>
    <row r="122" spans="1:9" x14ac:dyDescent="0.25">
      <c r="A122" t="str">
        <f t="shared" ca="1" si="9"/>
        <v>.102</v>
      </c>
      <c r="F122">
        <f t="shared" ca="1" si="11"/>
        <v>0</v>
      </c>
      <c r="G122" t="str">
        <f t="shared" ca="1" si="10"/>
        <v>.102</v>
      </c>
      <c r="H122" t="str" cm="1">
        <f t="array" ref="H122">IF(ISERR(SEARCH(".pdf",C122,1)),"",FolderNumber(B122))</f>
        <v/>
      </c>
      <c r="I122">
        <f ca="1">IF(COUNTIF($H$2:H122,H122)&gt;99,COUNTIF($H$2:H122,H122), IF(COUNTIF($H$2:H122,H122)&lt;10,_xlfn.CONCAT("0",TEXT(COUNTIF($H$2:H122,H122),0)),_xlfn.CONCAT("",TEXT(COUNTIF($H$2:H122,H122),0))))</f>
        <v>102</v>
      </c>
    </row>
    <row r="123" spans="1:9" x14ac:dyDescent="0.25">
      <c r="A123" t="str">
        <f t="shared" ca="1" si="9"/>
        <v>.103</v>
      </c>
      <c r="F123">
        <f t="shared" ca="1" si="11"/>
        <v>0</v>
      </c>
      <c r="G123" t="str">
        <f t="shared" ca="1" si="10"/>
        <v>.103</v>
      </c>
      <c r="H123" t="str" cm="1">
        <f t="array" ref="H123">IF(ISERR(SEARCH(".pdf",C123,1)),"",FolderNumber(B123))</f>
        <v/>
      </c>
      <c r="I123">
        <f ca="1">IF(COUNTIF($H$2:H123,H123)&gt;99,COUNTIF($H$2:H123,H123), IF(COUNTIF($H$2:H123,H123)&lt;10,_xlfn.CONCAT("0",TEXT(COUNTIF($H$2:H123,H123),0)),_xlfn.CONCAT("",TEXT(COUNTIF($H$2:H123,H123),0))))</f>
        <v>103</v>
      </c>
    </row>
    <row r="124" spans="1:9" x14ac:dyDescent="0.25">
      <c r="A124" t="str">
        <f t="shared" ca="1" si="9"/>
        <v>.104</v>
      </c>
      <c r="F124">
        <f t="shared" ca="1" si="11"/>
        <v>0</v>
      </c>
      <c r="G124" t="str">
        <f t="shared" ca="1" si="10"/>
        <v>.104</v>
      </c>
      <c r="H124" t="str" cm="1">
        <f t="array" ref="H124">IF(ISERR(SEARCH(".pdf",C124,1)),"",FolderNumber(B124))</f>
        <v/>
      </c>
      <c r="I124">
        <f ca="1">IF(COUNTIF($H$2:H124,H124)&gt;99,COUNTIF($H$2:H124,H124), IF(COUNTIF($H$2:H124,H124)&lt;10,_xlfn.CONCAT("0",TEXT(COUNTIF($H$2:H124,H124),0)),_xlfn.CONCAT("",TEXT(COUNTIF($H$2:H124,H124),0))))</f>
        <v>104</v>
      </c>
    </row>
    <row r="125" spans="1:9" x14ac:dyDescent="0.25">
      <c r="A125" t="str">
        <f t="shared" ca="1" si="9"/>
        <v>.105</v>
      </c>
      <c r="F125">
        <f t="shared" ca="1" si="11"/>
        <v>0</v>
      </c>
      <c r="G125" t="str">
        <f t="shared" ca="1" si="10"/>
        <v>.105</v>
      </c>
      <c r="H125" t="str" cm="1">
        <f t="array" ref="H125">IF(ISERR(SEARCH(".pdf",C125,1)),"",FolderNumber(B125))</f>
        <v/>
      </c>
      <c r="I125">
        <f ca="1">IF(COUNTIF($H$2:H125,H125)&gt;99,COUNTIF($H$2:H125,H125), IF(COUNTIF($H$2:H125,H125)&lt;10,_xlfn.CONCAT("0",TEXT(COUNTIF($H$2:H125,H125),0)),_xlfn.CONCAT("",TEXT(COUNTIF($H$2:H125,H125),0))))</f>
        <v>105</v>
      </c>
    </row>
    <row r="126" spans="1:9" x14ac:dyDescent="0.25">
      <c r="A126" t="str">
        <f t="shared" ca="1" si="9"/>
        <v>.106</v>
      </c>
      <c r="F126">
        <f t="shared" ca="1" si="11"/>
        <v>0</v>
      </c>
      <c r="G126" t="str">
        <f t="shared" ca="1" si="10"/>
        <v>.106</v>
      </c>
      <c r="H126" t="str" cm="1">
        <f t="array" ref="H126">IF(ISERR(SEARCH(".pdf",C126,1)),"",FolderNumber(B126))</f>
        <v/>
      </c>
      <c r="I126">
        <f ca="1">IF(COUNTIF($H$2:H126,H126)&gt;99,COUNTIF($H$2:H126,H126), IF(COUNTIF($H$2:H126,H126)&lt;10,_xlfn.CONCAT("0",TEXT(COUNTIF($H$2:H126,H126),0)),_xlfn.CONCAT("",TEXT(COUNTIF($H$2:H126,H126),0))))</f>
        <v>106</v>
      </c>
    </row>
    <row r="127" spans="1:9" x14ac:dyDescent="0.25">
      <c r="A127" t="str">
        <f t="shared" ca="1" si="9"/>
        <v>.107</v>
      </c>
      <c r="F127">
        <f t="shared" ca="1" si="11"/>
        <v>0</v>
      </c>
      <c r="G127" t="str">
        <f t="shared" ca="1" si="10"/>
        <v>.107</v>
      </c>
      <c r="H127" t="str" cm="1">
        <f t="array" ref="H127">IF(ISERR(SEARCH(".pdf",C127,1)),"",FolderNumber(B127))</f>
        <v/>
      </c>
      <c r="I127">
        <f ca="1">IF(COUNTIF($H$2:H127,H127)&gt;99,COUNTIF($H$2:H127,H127), IF(COUNTIF($H$2:H127,H127)&lt;10,_xlfn.CONCAT("0",TEXT(COUNTIF($H$2:H127,H127),0)),_xlfn.CONCAT("",TEXT(COUNTIF($H$2:H127,H127),0))))</f>
        <v>107</v>
      </c>
    </row>
    <row r="128" spans="1:9" x14ac:dyDescent="0.25">
      <c r="A128" t="str">
        <f t="shared" ref="A128:A191" ca="1" si="12">G128</f>
        <v>.108</v>
      </c>
      <c r="F128">
        <f t="shared" ca="1" si="11"/>
        <v>0</v>
      </c>
      <c r="G128" t="str">
        <f t="shared" ref="G128:G191" ca="1" si="13">_xlfn.CONCAT(H128,".",I128)</f>
        <v>.108</v>
      </c>
      <c r="H128" t="str" cm="1">
        <f t="array" ref="H128">IF(ISERR(SEARCH(".pdf",C128,1)),"",FolderNumber(B128))</f>
        <v/>
      </c>
      <c r="I128">
        <f ca="1">IF(COUNTIF($H$2:H128,H128)&gt;99,COUNTIF($H$2:H128,H128), IF(COUNTIF($H$2:H128,H128)&lt;10,_xlfn.CONCAT("0",TEXT(COUNTIF($H$2:H128,H128),0)),_xlfn.CONCAT("",TEXT(COUNTIF($H$2:H128,H128),0))))</f>
        <v>108</v>
      </c>
    </row>
    <row r="129" spans="1:9" x14ac:dyDescent="0.25">
      <c r="A129" t="str">
        <f t="shared" ca="1" si="12"/>
        <v>.109</v>
      </c>
      <c r="F129">
        <f t="shared" ca="1" si="11"/>
        <v>0</v>
      </c>
      <c r="G129" t="str">
        <f t="shared" ca="1" si="13"/>
        <v>.109</v>
      </c>
      <c r="H129" t="str" cm="1">
        <f t="array" ref="H129">IF(ISERR(SEARCH(".pdf",C129,1)),"",FolderNumber(B129))</f>
        <v/>
      </c>
      <c r="I129">
        <f ca="1">IF(COUNTIF($H$2:H129,H129)&gt;99,COUNTIF($H$2:H129,H129), IF(COUNTIF($H$2:H129,H129)&lt;10,_xlfn.CONCAT("0",TEXT(COUNTIF($H$2:H129,H129),0)),_xlfn.CONCAT("",TEXT(COUNTIF($H$2:H129,H129),0))))</f>
        <v>109</v>
      </c>
    </row>
    <row r="130" spans="1:9" x14ac:dyDescent="0.25">
      <c r="A130" t="str">
        <f t="shared" ca="1" si="12"/>
        <v>.110</v>
      </c>
      <c r="F130">
        <f t="shared" ca="1" si="11"/>
        <v>0</v>
      </c>
      <c r="G130" t="str">
        <f t="shared" ca="1" si="13"/>
        <v>.110</v>
      </c>
      <c r="H130" t="str" cm="1">
        <f t="array" ref="H130">IF(ISERR(SEARCH(".pdf",C130,1)),"",FolderNumber(B130))</f>
        <v/>
      </c>
      <c r="I130">
        <f ca="1">IF(COUNTIF($H$2:H130,H130)&gt;99,COUNTIF($H$2:H130,H130), IF(COUNTIF($H$2:H130,H130)&lt;10,_xlfn.CONCAT("0",TEXT(COUNTIF($H$2:H130,H130),0)),_xlfn.CONCAT("",TEXT(COUNTIF($H$2:H130,H130),0))))</f>
        <v>110</v>
      </c>
    </row>
    <row r="131" spans="1:9" x14ac:dyDescent="0.25">
      <c r="A131" t="str">
        <f t="shared" ca="1" si="12"/>
        <v>.111</v>
      </c>
      <c r="F131">
        <f t="shared" ca="1" si="11"/>
        <v>0</v>
      </c>
      <c r="G131" t="str">
        <f t="shared" ca="1" si="13"/>
        <v>.111</v>
      </c>
      <c r="H131" t="str" cm="1">
        <f t="array" ref="H131">IF(ISERR(SEARCH(".pdf",C131,1)),"",FolderNumber(B131))</f>
        <v/>
      </c>
      <c r="I131">
        <f ca="1">IF(COUNTIF($H$2:H131,H131)&gt;99,COUNTIF($H$2:H131,H131), IF(COUNTIF($H$2:H131,H131)&lt;10,_xlfn.CONCAT("0",TEXT(COUNTIF($H$2:H131,H131),0)),_xlfn.CONCAT("",TEXT(COUNTIF($H$2:H131,H131),0))))</f>
        <v>111</v>
      </c>
    </row>
    <row r="132" spans="1:9" x14ac:dyDescent="0.25">
      <c r="A132" t="str">
        <f t="shared" ca="1" si="12"/>
        <v>.112</v>
      </c>
      <c r="F132">
        <f t="shared" ca="1" si="11"/>
        <v>0</v>
      </c>
      <c r="G132" t="str">
        <f t="shared" ca="1" si="13"/>
        <v>.112</v>
      </c>
      <c r="H132" t="str" cm="1">
        <f t="array" ref="H132">IF(ISERR(SEARCH(".pdf",C132,1)),"",FolderNumber(B132))</f>
        <v/>
      </c>
      <c r="I132">
        <f ca="1">IF(COUNTIF($H$2:H132,H132)&gt;99,COUNTIF($H$2:H132,H132), IF(COUNTIF($H$2:H132,H132)&lt;10,_xlfn.CONCAT("0",TEXT(COUNTIF($H$2:H132,H132),0)),_xlfn.CONCAT("",TEXT(COUNTIF($H$2:H132,H132),0))))</f>
        <v>112</v>
      </c>
    </row>
    <row r="133" spans="1:9" x14ac:dyDescent="0.25">
      <c r="A133" t="str">
        <f t="shared" ca="1" si="12"/>
        <v>.113</v>
      </c>
      <c r="F133">
        <f t="shared" ca="1" si="11"/>
        <v>0</v>
      </c>
      <c r="G133" t="str">
        <f t="shared" ca="1" si="13"/>
        <v>.113</v>
      </c>
      <c r="H133" t="str" cm="1">
        <f t="array" ref="H133">IF(ISERR(SEARCH(".pdf",C133,1)),"",FolderNumber(B133))</f>
        <v/>
      </c>
      <c r="I133">
        <f ca="1">IF(COUNTIF($H$2:H133,H133)&gt;99,COUNTIF($H$2:H133,H133), IF(COUNTIF($H$2:H133,H133)&lt;10,_xlfn.CONCAT("0",TEXT(COUNTIF($H$2:H133,H133),0)),_xlfn.CONCAT("",TEXT(COUNTIF($H$2:H133,H133),0))))</f>
        <v>113</v>
      </c>
    </row>
    <row r="134" spans="1:9" x14ac:dyDescent="0.25">
      <c r="A134" t="str">
        <f t="shared" ca="1" si="12"/>
        <v>.114</v>
      </c>
      <c r="F134">
        <f t="shared" ca="1" si="11"/>
        <v>0</v>
      </c>
      <c r="G134" t="str">
        <f t="shared" ca="1" si="13"/>
        <v>.114</v>
      </c>
      <c r="H134" t="str" cm="1">
        <f t="array" ref="H134">IF(ISERR(SEARCH(".pdf",C134,1)),"",FolderNumber(B134))</f>
        <v/>
      </c>
      <c r="I134">
        <f ca="1">IF(COUNTIF($H$2:H134,H134)&gt;99,COUNTIF($H$2:H134,H134), IF(COUNTIF($H$2:H134,H134)&lt;10,_xlfn.CONCAT("0",TEXT(COUNTIF($H$2:H134,H134),0)),_xlfn.CONCAT("",TEXT(COUNTIF($H$2:H134,H134),0))))</f>
        <v>114</v>
      </c>
    </row>
    <row r="135" spans="1:9" x14ac:dyDescent="0.25">
      <c r="A135" t="str">
        <f t="shared" ca="1" si="12"/>
        <v>.115</v>
      </c>
      <c r="F135">
        <f t="shared" ca="1" si="11"/>
        <v>0</v>
      </c>
      <c r="G135" t="str">
        <f t="shared" ca="1" si="13"/>
        <v>.115</v>
      </c>
      <c r="H135" t="str" cm="1">
        <f t="array" ref="H135">IF(ISERR(SEARCH(".pdf",C135,1)),"",FolderNumber(B135))</f>
        <v/>
      </c>
      <c r="I135">
        <f ca="1">IF(COUNTIF($H$2:H135,H135)&gt;99,COUNTIF($H$2:H135,H135), IF(COUNTIF($H$2:H135,H135)&lt;10,_xlfn.CONCAT("0",TEXT(COUNTIF($H$2:H135,H135),0)),_xlfn.CONCAT("",TEXT(COUNTIF($H$2:H135,H135),0))))</f>
        <v>115</v>
      </c>
    </row>
    <row r="136" spans="1:9" x14ac:dyDescent="0.25">
      <c r="A136" t="str">
        <f t="shared" ca="1" si="12"/>
        <v>.116</v>
      </c>
      <c r="F136">
        <f t="shared" ca="1" si="11"/>
        <v>0</v>
      </c>
      <c r="G136" t="str">
        <f t="shared" ca="1" si="13"/>
        <v>.116</v>
      </c>
      <c r="H136" t="str" cm="1">
        <f t="array" ref="H136">IF(ISERR(SEARCH(".pdf",C136,1)),"",FolderNumber(B136))</f>
        <v/>
      </c>
      <c r="I136">
        <f ca="1">IF(COUNTIF($H$2:H136,H136)&gt;99,COUNTIF($H$2:H136,H136), IF(COUNTIF($H$2:H136,H136)&lt;10,_xlfn.CONCAT("0",TEXT(COUNTIF($H$2:H136,H136),0)),_xlfn.CONCAT("",TEXT(COUNTIF($H$2:H136,H136),0))))</f>
        <v>116</v>
      </c>
    </row>
    <row r="137" spans="1:9" x14ac:dyDescent="0.25">
      <c r="A137" t="str">
        <f t="shared" ca="1" si="12"/>
        <v>.117</v>
      </c>
      <c r="F137">
        <f t="shared" ca="1" si="11"/>
        <v>0</v>
      </c>
      <c r="G137" t="str">
        <f t="shared" ca="1" si="13"/>
        <v>.117</v>
      </c>
      <c r="H137" t="str" cm="1">
        <f t="array" ref="H137">IF(ISERR(SEARCH(".pdf",C137,1)),"",FolderNumber(B137))</f>
        <v/>
      </c>
      <c r="I137">
        <f ca="1">IF(COUNTIF($H$2:H137,H137)&gt;99,COUNTIF($H$2:H137,H137), IF(COUNTIF($H$2:H137,H137)&lt;10,_xlfn.CONCAT("0",TEXT(COUNTIF($H$2:H137,H137),0)),_xlfn.CONCAT("",TEXT(COUNTIF($H$2:H137,H137),0))))</f>
        <v>117</v>
      </c>
    </row>
    <row r="138" spans="1:9" x14ac:dyDescent="0.25">
      <c r="A138" t="str">
        <f t="shared" ca="1" si="12"/>
        <v>.118</v>
      </c>
      <c r="F138">
        <f t="shared" ca="1" si="11"/>
        <v>0</v>
      </c>
      <c r="G138" t="str">
        <f t="shared" ca="1" si="13"/>
        <v>.118</v>
      </c>
      <c r="H138" t="str" cm="1">
        <f t="array" ref="H138">IF(ISERR(SEARCH(".pdf",C138,1)),"",FolderNumber(B138))</f>
        <v/>
      </c>
      <c r="I138">
        <f ca="1">IF(COUNTIF($H$2:H138,H138)&gt;99,COUNTIF($H$2:H138,H138), IF(COUNTIF($H$2:H138,H138)&lt;10,_xlfn.CONCAT("0",TEXT(COUNTIF($H$2:H138,H138),0)),_xlfn.CONCAT("",TEXT(COUNTIF($H$2:H138,H138),0))))</f>
        <v>118</v>
      </c>
    </row>
    <row r="139" spans="1:9" x14ac:dyDescent="0.25">
      <c r="A139" t="str">
        <f t="shared" ca="1" si="12"/>
        <v>.119</v>
      </c>
      <c r="F139">
        <f t="shared" ca="1" si="11"/>
        <v>0</v>
      </c>
      <c r="G139" t="str">
        <f t="shared" ca="1" si="13"/>
        <v>.119</v>
      </c>
      <c r="H139" t="str" cm="1">
        <f t="array" ref="H139">IF(ISERR(SEARCH(".pdf",C139,1)),"",FolderNumber(B139))</f>
        <v/>
      </c>
      <c r="I139">
        <f ca="1">IF(COUNTIF($H$2:H139,H139)&gt;99,COUNTIF($H$2:H139,H139), IF(COUNTIF($H$2:H139,H139)&lt;10,_xlfn.CONCAT("0",TEXT(COUNTIF($H$2:H139,H139),0)),_xlfn.CONCAT("",TEXT(COUNTIF($H$2:H139,H139),0))))</f>
        <v>119</v>
      </c>
    </row>
    <row r="140" spans="1:9" x14ac:dyDescent="0.25">
      <c r="A140" t="str">
        <f t="shared" ca="1" si="12"/>
        <v>.120</v>
      </c>
      <c r="F140">
        <f t="shared" ca="1" si="11"/>
        <v>0</v>
      </c>
      <c r="G140" t="str">
        <f t="shared" ca="1" si="13"/>
        <v>.120</v>
      </c>
      <c r="H140" t="str" cm="1">
        <f t="array" ref="H140">IF(ISERR(SEARCH(".pdf",C140,1)),"",FolderNumber(B140))</f>
        <v/>
      </c>
      <c r="I140">
        <f ca="1">IF(COUNTIF($H$2:H140,H140)&gt;99,COUNTIF($H$2:H140,H140), IF(COUNTIF($H$2:H140,H140)&lt;10,_xlfn.CONCAT("0",TEXT(COUNTIF($H$2:H140,H140),0)),_xlfn.CONCAT("",TEXT(COUNTIF($H$2:H140,H140),0))))</f>
        <v>120</v>
      </c>
    </row>
    <row r="141" spans="1:9" x14ac:dyDescent="0.25">
      <c r="A141" t="str">
        <f t="shared" ca="1" si="12"/>
        <v>.121</v>
      </c>
      <c r="F141">
        <f t="shared" ca="1" si="11"/>
        <v>0</v>
      </c>
      <c r="G141" t="str">
        <f t="shared" ca="1" si="13"/>
        <v>.121</v>
      </c>
      <c r="H141" t="str" cm="1">
        <f t="array" ref="H141">IF(ISERR(SEARCH(".pdf",C141,1)),"",FolderNumber(B141))</f>
        <v/>
      </c>
      <c r="I141">
        <f ca="1">IF(COUNTIF($H$2:H141,H141)&gt;99,COUNTIF($H$2:H141,H141), IF(COUNTIF($H$2:H141,H141)&lt;10,_xlfn.CONCAT("0",TEXT(COUNTIF($H$2:H141,H141),0)),_xlfn.CONCAT("",TEXT(COUNTIF($H$2:H141,H141),0))))</f>
        <v>121</v>
      </c>
    </row>
    <row r="142" spans="1:9" x14ac:dyDescent="0.25">
      <c r="A142" t="str">
        <f t="shared" ca="1" si="12"/>
        <v>.122</v>
      </c>
      <c r="F142">
        <f t="shared" ca="1" si="11"/>
        <v>0</v>
      </c>
      <c r="G142" t="str">
        <f t="shared" ca="1" si="13"/>
        <v>.122</v>
      </c>
      <c r="H142" t="str" cm="1">
        <f t="array" ref="H142">IF(ISERR(SEARCH(".pdf",C142,1)),"",FolderNumber(B142))</f>
        <v/>
      </c>
      <c r="I142">
        <f ca="1">IF(COUNTIF($H$2:H142,H142)&gt;99,COUNTIF($H$2:H142,H142), IF(COUNTIF($H$2:H142,H142)&lt;10,_xlfn.CONCAT("0",TEXT(COUNTIF($H$2:H142,H142),0)),_xlfn.CONCAT("",TEXT(COUNTIF($H$2:H142,H142),0))))</f>
        <v>122</v>
      </c>
    </row>
    <row r="143" spans="1:9" x14ac:dyDescent="0.25">
      <c r="A143" t="str">
        <f t="shared" ca="1" si="12"/>
        <v>.123</v>
      </c>
      <c r="F143">
        <f t="shared" ca="1" si="11"/>
        <v>0</v>
      </c>
      <c r="G143" t="str">
        <f t="shared" ca="1" si="13"/>
        <v>.123</v>
      </c>
      <c r="H143" t="str" cm="1">
        <f t="array" ref="H143">IF(ISERR(SEARCH(".pdf",C143,1)),"",FolderNumber(B143))</f>
        <v/>
      </c>
      <c r="I143">
        <f ca="1">IF(COUNTIF($H$2:H143,H143)&gt;99,COUNTIF($H$2:H143,H143), IF(COUNTIF($H$2:H143,H143)&lt;10,_xlfn.CONCAT("0",TEXT(COUNTIF($H$2:H143,H143),0)),_xlfn.CONCAT("",TEXT(COUNTIF($H$2:H143,H143),0))))</f>
        <v>123</v>
      </c>
    </row>
    <row r="144" spans="1:9" x14ac:dyDescent="0.25">
      <c r="A144" t="str">
        <f t="shared" ca="1" si="12"/>
        <v>.124</v>
      </c>
      <c r="F144">
        <f t="shared" ca="1" si="11"/>
        <v>0</v>
      </c>
      <c r="G144" t="str">
        <f t="shared" ca="1" si="13"/>
        <v>.124</v>
      </c>
      <c r="H144" t="str" cm="1">
        <f t="array" ref="H144">IF(ISERR(SEARCH(".pdf",C144,1)),"",FolderNumber(B144))</f>
        <v/>
      </c>
      <c r="I144">
        <f ca="1">IF(COUNTIF($H$2:H144,H144)&gt;99,COUNTIF($H$2:H144,H144), IF(COUNTIF($H$2:H144,H144)&lt;10,_xlfn.CONCAT("0",TEXT(COUNTIF($H$2:H144,H144),0)),_xlfn.CONCAT("",TEXT(COUNTIF($H$2:H144,H144),0))))</f>
        <v>124</v>
      </c>
    </row>
    <row r="145" spans="1:9" x14ac:dyDescent="0.25">
      <c r="A145" t="str">
        <f t="shared" ca="1" si="12"/>
        <v>.125</v>
      </c>
      <c r="F145">
        <f t="shared" ca="1" si="11"/>
        <v>0</v>
      </c>
      <c r="G145" t="str">
        <f t="shared" ca="1" si="13"/>
        <v>.125</v>
      </c>
      <c r="H145" t="str" cm="1">
        <f t="array" ref="H145">IF(ISERR(SEARCH(".pdf",C145,1)),"",FolderNumber(B145))</f>
        <v/>
      </c>
      <c r="I145">
        <f ca="1">IF(COUNTIF($H$2:H145,H145)&gt;99,COUNTIF($H$2:H145,H145), IF(COUNTIF($H$2:H145,H145)&lt;10,_xlfn.CONCAT("0",TEXT(COUNTIF($H$2:H145,H145),0)),_xlfn.CONCAT("",TEXT(COUNTIF($H$2:H145,H145),0))))</f>
        <v>125</v>
      </c>
    </row>
    <row r="146" spans="1:9" x14ac:dyDescent="0.25">
      <c r="A146" t="str">
        <f t="shared" ca="1" si="12"/>
        <v>.126</v>
      </c>
      <c r="F146">
        <f t="shared" ca="1" si="11"/>
        <v>0</v>
      </c>
      <c r="G146" t="str">
        <f t="shared" ca="1" si="13"/>
        <v>.126</v>
      </c>
      <c r="H146" t="str" cm="1">
        <f t="array" ref="H146">IF(ISERR(SEARCH(".pdf",C146,1)),"",FolderNumber(B146))</f>
        <v/>
      </c>
      <c r="I146">
        <f ca="1">IF(COUNTIF($H$2:H146,H146)&gt;99,COUNTIF($H$2:H146,H146), IF(COUNTIF($H$2:H146,H146)&lt;10,_xlfn.CONCAT("0",TEXT(COUNTIF($H$2:H146,H146),0)),_xlfn.CONCAT("",TEXT(COUNTIF($H$2:H146,H146),0))))</f>
        <v>126</v>
      </c>
    </row>
    <row r="147" spans="1:9" x14ac:dyDescent="0.25">
      <c r="A147" t="str">
        <f t="shared" ca="1" si="12"/>
        <v>.127</v>
      </c>
      <c r="F147">
        <f t="shared" ca="1" si="11"/>
        <v>0</v>
      </c>
      <c r="G147" t="str">
        <f t="shared" ca="1" si="13"/>
        <v>.127</v>
      </c>
      <c r="H147" t="str" cm="1">
        <f t="array" ref="H147">IF(ISERR(SEARCH(".pdf",C147,1)),"",FolderNumber(B147))</f>
        <v/>
      </c>
      <c r="I147">
        <f ca="1">IF(COUNTIF($H$2:H147,H147)&gt;99,COUNTIF($H$2:H147,H147), IF(COUNTIF($H$2:H147,H147)&lt;10,_xlfn.CONCAT("0",TEXT(COUNTIF($H$2:H147,H147),0)),_xlfn.CONCAT("",TEXT(COUNTIF($H$2:H147,H147),0))))</f>
        <v>127</v>
      </c>
    </row>
    <row r="148" spans="1:9" x14ac:dyDescent="0.25">
      <c r="A148" t="str">
        <f t="shared" ca="1" si="12"/>
        <v>.128</v>
      </c>
      <c r="F148">
        <f t="shared" ca="1" si="11"/>
        <v>0</v>
      </c>
      <c r="G148" t="str">
        <f t="shared" ca="1" si="13"/>
        <v>.128</v>
      </c>
      <c r="H148" t="str" cm="1">
        <f t="array" ref="H148">IF(ISERR(SEARCH(".pdf",C148,1)),"",FolderNumber(B148))</f>
        <v/>
      </c>
      <c r="I148">
        <f ca="1">IF(COUNTIF($H$2:H148,H148)&gt;99,COUNTIF($H$2:H148,H148), IF(COUNTIF($H$2:H148,H148)&lt;10,_xlfn.CONCAT("0",TEXT(COUNTIF($H$2:H148,H148),0)),_xlfn.CONCAT("",TEXT(COUNTIF($H$2:H148,H148),0))))</f>
        <v>128</v>
      </c>
    </row>
    <row r="149" spans="1:9" x14ac:dyDescent="0.25">
      <c r="A149" t="str">
        <f t="shared" ca="1" si="12"/>
        <v>.129</v>
      </c>
      <c r="F149">
        <f t="shared" ca="1" si="11"/>
        <v>0</v>
      </c>
      <c r="G149" t="str">
        <f t="shared" ca="1" si="13"/>
        <v>.129</v>
      </c>
      <c r="H149" t="str" cm="1">
        <f t="array" ref="H149">IF(ISERR(SEARCH(".pdf",C149,1)),"",FolderNumber(B149))</f>
        <v/>
      </c>
      <c r="I149">
        <f ca="1">IF(COUNTIF($H$2:H149,H149)&gt;99,COUNTIF($H$2:H149,H149), IF(COUNTIF($H$2:H149,H149)&lt;10,_xlfn.CONCAT("0",TEXT(COUNTIF($H$2:H149,H149),0)),_xlfn.CONCAT("",TEXT(COUNTIF($H$2:H149,H149),0))))</f>
        <v>129</v>
      </c>
    </row>
    <row r="150" spans="1:9" x14ac:dyDescent="0.25">
      <c r="A150" t="str">
        <f t="shared" ca="1" si="12"/>
        <v>.130</v>
      </c>
      <c r="F150">
        <f t="shared" ca="1" si="11"/>
        <v>0</v>
      </c>
      <c r="G150" t="str">
        <f t="shared" ca="1" si="13"/>
        <v>.130</v>
      </c>
      <c r="H150" t="str" cm="1">
        <f t="array" ref="H150">IF(ISERR(SEARCH(".pdf",C150,1)),"",FolderNumber(B150))</f>
        <v/>
      </c>
      <c r="I150">
        <f ca="1">IF(COUNTIF($H$2:H150,H150)&gt;99,COUNTIF($H$2:H150,H150), IF(COUNTIF($H$2:H150,H150)&lt;10,_xlfn.CONCAT("0",TEXT(COUNTIF($H$2:H150,H150),0)),_xlfn.CONCAT("",TEXT(COUNTIF($H$2:H150,H150),0))))</f>
        <v>130</v>
      </c>
    </row>
    <row r="151" spans="1:9" x14ac:dyDescent="0.25">
      <c r="A151" t="str">
        <f t="shared" ca="1" si="12"/>
        <v>.131</v>
      </c>
      <c r="F151">
        <f t="shared" ca="1" si="11"/>
        <v>0</v>
      </c>
      <c r="G151" t="str">
        <f t="shared" ca="1" si="13"/>
        <v>.131</v>
      </c>
      <c r="H151" t="str" cm="1">
        <f t="array" ref="H151">IF(ISERR(SEARCH(".pdf",C151,1)),"",FolderNumber(B151))</f>
        <v/>
      </c>
      <c r="I151">
        <f ca="1">IF(COUNTIF($H$2:H151,H151)&gt;99,COUNTIF($H$2:H151,H151), IF(COUNTIF($H$2:H151,H151)&lt;10,_xlfn.CONCAT("0",TEXT(COUNTIF($H$2:H151,H151),0)),_xlfn.CONCAT("",TEXT(COUNTIF($H$2:H151,H151),0))))</f>
        <v>131</v>
      </c>
    </row>
    <row r="152" spans="1:9" x14ac:dyDescent="0.25">
      <c r="A152" t="str">
        <f t="shared" ca="1" si="12"/>
        <v>.132</v>
      </c>
      <c r="F152">
        <f t="shared" ca="1" si="11"/>
        <v>0</v>
      </c>
      <c r="G152" t="str">
        <f t="shared" ca="1" si="13"/>
        <v>.132</v>
      </c>
      <c r="H152" t="str" cm="1">
        <f t="array" ref="H152">IF(ISERR(SEARCH(".pdf",C152,1)),"",FolderNumber(B152))</f>
        <v/>
      </c>
      <c r="I152">
        <f ca="1">IF(COUNTIF($H$2:H152,H152)&gt;99,COUNTIF($H$2:H152,H152), IF(COUNTIF($H$2:H152,H152)&lt;10,_xlfn.CONCAT("0",TEXT(COUNTIF($H$2:H152,H152),0)),_xlfn.CONCAT("",TEXT(COUNTIF($H$2:H152,H152),0))))</f>
        <v>132</v>
      </c>
    </row>
    <row r="153" spans="1:9" x14ac:dyDescent="0.25">
      <c r="A153" t="str">
        <f t="shared" ca="1" si="12"/>
        <v>.133</v>
      </c>
      <c r="F153">
        <f t="shared" ca="1" si="11"/>
        <v>0</v>
      </c>
      <c r="G153" t="str">
        <f t="shared" ca="1" si="13"/>
        <v>.133</v>
      </c>
      <c r="H153" t="str" cm="1">
        <f t="array" ref="H153">IF(ISERR(SEARCH(".pdf",C153,1)),"",FolderNumber(B153))</f>
        <v/>
      </c>
      <c r="I153">
        <f ca="1">IF(COUNTIF($H$2:H153,H153)&gt;99,COUNTIF($H$2:H153,H153), IF(COUNTIF($H$2:H153,H153)&lt;10,_xlfn.CONCAT("0",TEXT(COUNTIF($H$2:H153,H153),0)),_xlfn.CONCAT("",TEXT(COUNTIF($H$2:H153,H153),0))))</f>
        <v>133</v>
      </c>
    </row>
    <row r="154" spans="1:9" x14ac:dyDescent="0.25">
      <c r="A154" t="str">
        <f t="shared" ca="1" si="12"/>
        <v>.134</v>
      </c>
      <c r="F154">
        <f t="shared" ca="1" si="11"/>
        <v>0</v>
      </c>
      <c r="G154" t="str">
        <f t="shared" ca="1" si="13"/>
        <v>.134</v>
      </c>
      <c r="H154" t="str" cm="1">
        <f t="array" ref="H154">IF(ISERR(SEARCH(".pdf",C154,1)),"",FolderNumber(B154))</f>
        <v/>
      </c>
      <c r="I154">
        <f ca="1">IF(COUNTIF($H$2:H154,H154)&gt;99,COUNTIF($H$2:H154,H154), IF(COUNTIF($H$2:H154,H154)&lt;10,_xlfn.CONCAT("0",TEXT(COUNTIF($H$2:H154,H154),0)),_xlfn.CONCAT("",TEXT(COUNTIF($H$2:H154,H154),0))))</f>
        <v>134</v>
      </c>
    </row>
    <row r="155" spans="1:9" x14ac:dyDescent="0.25">
      <c r="A155" t="str">
        <f t="shared" ca="1" si="12"/>
        <v>.135</v>
      </c>
      <c r="F155">
        <f t="shared" ref="F155:F218" ca="1" si="14">IF(OR(ISERR(SEARCH(".pdf",C155,1)),ISBLANK(G155)),C155,_xlfn.CONCAT(A155," - ",C155))</f>
        <v>0</v>
      </c>
      <c r="G155" t="str">
        <f t="shared" ca="1" si="13"/>
        <v>.135</v>
      </c>
      <c r="H155" t="str" cm="1">
        <f t="array" ref="H155">IF(ISERR(SEARCH(".pdf",C155,1)),"",FolderNumber(B155))</f>
        <v/>
      </c>
      <c r="I155">
        <f ca="1">IF(COUNTIF($H$2:H155,H155)&gt;99,COUNTIF($H$2:H155,H155), IF(COUNTIF($H$2:H155,H155)&lt;10,_xlfn.CONCAT("0",TEXT(COUNTIF($H$2:H155,H155),0)),_xlfn.CONCAT("",TEXT(COUNTIF($H$2:H155,H155),0))))</f>
        <v>135</v>
      </c>
    </row>
    <row r="156" spans="1:9" x14ac:dyDescent="0.25">
      <c r="A156" t="str">
        <f t="shared" ca="1" si="12"/>
        <v>.136</v>
      </c>
      <c r="F156">
        <f t="shared" ca="1" si="14"/>
        <v>0</v>
      </c>
      <c r="G156" t="str">
        <f t="shared" ca="1" si="13"/>
        <v>.136</v>
      </c>
      <c r="H156" t="str" cm="1">
        <f t="array" ref="H156">IF(ISERR(SEARCH(".pdf",C156,1)),"",FolderNumber(B156))</f>
        <v/>
      </c>
      <c r="I156">
        <f ca="1">IF(COUNTIF($H$2:H156,H156)&gt;99,COUNTIF($H$2:H156,H156), IF(COUNTIF($H$2:H156,H156)&lt;10,_xlfn.CONCAT("0",TEXT(COUNTIF($H$2:H156,H156),0)),_xlfn.CONCAT("",TEXT(COUNTIF($H$2:H156,H156),0))))</f>
        <v>136</v>
      </c>
    </row>
    <row r="157" spans="1:9" x14ac:dyDescent="0.25">
      <c r="A157" t="str">
        <f t="shared" ca="1" si="12"/>
        <v>.137</v>
      </c>
      <c r="F157">
        <f t="shared" ca="1" si="14"/>
        <v>0</v>
      </c>
      <c r="G157" t="str">
        <f t="shared" ca="1" si="13"/>
        <v>.137</v>
      </c>
      <c r="H157" t="str" cm="1">
        <f t="array" ref="H157">IF(ISERR(SEARCH(".pdf",C157,1)),"",FolderNumber(B157))</f>
        <v/>
      </c>
      <c r="I157">
        <f ca="1">IF(COUNTIF($H$2:H157,H157)&gt;99,COUNTIF($H$2:H157,H157), IF(COUNTIF($H$2:H157,H157)&lt;10,_xlfn.CONCAT("0",TEXT(COUNTIF($H$2:H157,H157),0)),_xlfn.CONCAT("",TEXT(COUNTIF($H$2:H157,H157),0))))</f>
        <v>137</v>
      </c>
    </row>
    <row r="158" spans="1:9" x14ac:dyDescent="0.25">
      <c r="A158" t="str">
        <f t="shared" ca="1" si="12"/>
        <v>.138</v>
      </c>
      <c r="F158">
        <f t="shared" ca="1" si="14"/>
        <v>0</v>
      </c>
      <c r="G158" t="str">
        <f t="shared" ca="1" si="13"/>
        <v>.138</v>
      </c>
      <c r="H158" t="str" cm="1">
        <f t="array" ref="H158">IF(ISERR(SEARCH(".pdf",C158,1)),"",FolderNumber(B158))</f>
        <v/>
      </c>
      <c r="I158">
        <f ca="1">IF(COUNTIF($H$2:H158,H158)&gt;99,COUNTIF($H$2:H158,H158), IF(COUNTIF($H$2:H158,H158)&lt;10,_xlfn.CONCAT("0",TEXT(COUNTIF($H$2:H158,H158),0)),_xlfn.CONCAT("",TEXT(COUNTIF($H$2:H158,H158),0))))</f>
        <v>138</v>
      </c>
    </row>
    <row r="159" spans="1:9" x14ac:dyDescent="0.25">
      <c r="A159" t="str">
        <f t="shared" ca="1" si="12"/>
        <v>.139</v>
      </c>
      <c r="F159">
        <f t="shared" ca="1" si="14"/>
        <v>0</v>
      </c>
      <c r="G159" t="str">
        <f t="shared" ca="1" si="13"/>
        <v>.139</v>
      </c>
      <c r="H159" t="str" cm="1">
        <f t="array" ref="H159">IF(ISERR(SEARCH(".pdf",C159,1)),"",FolderNumber(B159))</f>
        <v/>
      </c>
      <c r="I159">
        <f ca="1">IF(COUNTIF($H$2:H159,H159)&gt;99,COUNTIF($H$2:H159,H159), IF(COUNTIF($H$2:H159,H159)&lt;10,_xlfn.CONCAT("0",TEXT(COUNTIF($H$2:H159,H159),0)),_xlfn.CONCAT("",TEXT(COUNTIF($H$2:H159,H159),0))))</f>
        <v>139</v>
      </c>
    </row>
    <row r="160" spans="1:9" x14ac:dyDescent="0.25">
      <c r="A160" t="str">
        <f t="shared" ca="1" si="12"/>
        <v>.140</v>
      </c>
      <c r="F160">
        <f t="shared" ca="1" si="14"/>
        <v>0</v>
      </c>
      <c r="G160" t="str">
        <f t="shared" ca="1" si="13"/>
        <v>.140</v>
      </c>
      <c r="H160" t="str" cm="1">
        <f t="array" ref="H160">IF(ISERR(SEARCH(".pdf",C160,1)),"",FolderNumber(B160))</f>
        <v/>
      </c>
      <c r="I160">
        <f ca="1">IF(COUNTIF($H$2:H160,H160)&gt;99,COUNTIF($H$2:H160,H160), IF(COUNTIF($H$2:H160,H160)&lt;10,_xlfn.CONCAT("0",TEXT(COUNTIF($H$2:H160,H160),0)),_xlfn.CONCAT("",TEXT(COUNTIF($H$2:H160,H160),0))))</f>
        <v>140</v>
      </c>
    </row>
    <row r="161" spans="1:9" x14ac:dyDescent="0.25">
      <c r="A161" t="str">
        <f t="shared" ca="1" si="12"/>
        <v>.141</v>
      </c>
      <c r="F161">
        <f t="shared" ca="1" si="14"/>
        <v>0</v>
      </c>
      <c r="G161" t="str">
        <f t="shared" ca="1" si="13"/>
        <v>.141</v>
      </c>
      <c r="H161" t="str" cm="1">
        <f t="array" ref="H161">IF(ISERR(SEARCH(".pdf",C161,1)),"",FolderNumber(B161))</f>
        <v/>
      </c>
      <c r="I161">
        <f ca="1">IF(COUNTIF($H$2:H161,H161)&gt;99,COUNTIF($H$2:H161,H161), IF(COUNTIF($H$2:H161,H161)&lt;10,_xlfn.CONCAT("0",TEXT(COUNTIF($H$2:H161,H161),0)),_xlfn.CONCAT("",TEXT(COUNTIF($H$2:H161,H161),0))))</f>
        <v>141</v>
      </c>
    </row>
    <row r="162" spans="1:9" x14ac:dyDescent="0.25">
      <c r="A162" t="str">
        <f t="shared" ca="1" si="12"/>
        <v>.142</v>
      </c>
      <c r="F162">
        <f t="shared" ca="1" si="14"/>
        <v>0</v>
      </c>
      <c r="G162" t="str">
        <f t="shared" ca="1" si="13"/>
        <v>.142</v>
      </c>
      <c r="H162" t="str" cm="1">
        <f t="array" ref="H162">IF(ISERR(SEARCH(".pdf",C162,1)),"",FolderNumber(B162))</f>
        <v/>
      </c>
      <c r="I162">
        <f ca="1">IF(COUNTIF($H$2:H162,H162)&gt;99,COUNTIF($H$2:H162,H162), IF(COUNTIF($H$2:H162,H162)&lt;10,_xlfn.CONCAT("0",TEXT(COUNTIF($H$2:H162,H162),0)),_xlfn.CONCAT("",TEXT(COUNTIF($H$2:H162,H162),0))))</f>
        <v>142</v>
      </c>
    </row>
    <row r="163" spans="1:9" x14ac:dyDescent="0.25">
      <c r="A163" t="str">
        <f t="shared" ca="1" si="12"/>
        <v>.143</v>
      </c>
      <c r="F163">
        <f t="shared" ca="1" si="14"/>
        <v>0</v>
      </c>
      <c r="G163" t="str">
        <f t="shared" ca="1" si="13"/>
        <v>.143</v>
      </c>
      <c r="H163" t="str" cm="1">
        <f t="array" ref="H163">IF(ISERR(SEARCH(".pdf",C163,1)),"",FolderNumber(B163))</f>
        <v/>
      </c>
      <c r="I163">
        <f ca="1">IF(COUNTIF($H$2:H163,H163)&gt;99,COUNTIF($H$2:H163,H163), IF(COUNTIF($H$2:H163,H163)&lt;10,_xlfn.CONCAT("0",TEXT(COUNTIF($H$2:H163,H163),0)),_xlfn.CONCAT("",TEXT(COUNTIF($H$2:H163,H163),0))))</f>
        <v>143</v>
      </c>
    </row>
    <row r="164" spans="1:9" x14ac:dyDescent="0.25">
      <c r="A164" t="str">
        <f t="shared" ca="1" si="12"/>
        <v>.144</v>
      </c>
      <c r="F164">
        <f t="shared" ca="1" si="14"/>
        <v>0</v>
      </c>
      <c r="G164" t="str">
        <f t="shared" ca="1" si="13"/>
        <v>.144</v>
      </c>
      <c r="H164" t="str" cm="1">
        <f t="array" ref="H164">IF(ISERR(SEARCH(".pdf",C164,1)),"",FolderNumber(B164))</f>
        <v/>
      </c>
      <c r="I164">
        <f ca="1">IF(COUNTIF($H$2:H164,H164)&gt;99,COUNTIF($H$2:H164,H164), IF(COUNTIF($H$2:H164,H164)&lt;10,_xlfn.CONCAT("0",TEXT(COUNTIF($H$2:H164,H164),0)),_xlfn.CONCAT("",TEXT(COUNTIF($H$2:H164,H164),0))))</f>
        <v>144</v>
      </c>
    </row>
    <row r="165" spans="1:9" x14ac:dyDescent="0.25">
      <c r="A165" t="str">
        <f t="shared" ca="1" si="12"/>
        <v>.145</v>
      </c>
      <c r="F165">
        <f t="shared" ca="1" si="14"/>
        <v>0</v>
      </c>
      <c r="G165" t="str">
        <f t="shared" ca="1" si="13"/>
        <v>.145</v>
      </c>
      <c r="H165" t="str" cm="1">
        <f t="array" ref="H165">IF(ISERR(SEARCH(".pdf",C165,1)),"",FolderNumber(B165))</f>
        <v/>
      </c>
      <c r="I165">
        <f ca="1">IF(COUNTIF($H$2:H165,H165)&gt;99,COUNTIF($H$2:H165,H165), IF(COUNTIF($H$2:H165,H165)&lt;10,_xlfn.CONCAT("0",TEXT(COUNTIF($H$2:H165,H165),0)),_xlfn.CONCAT("",TEXT(COUNTIF($H$2:H165,H165),0))))</f>
        <v>145</v>
      </c>
    </row>
    <row r="166" spans="1:9" x14ac:dyDescent="0.25">
      <c r="A166" t="str">
        <f t="shared" ca="1" si="12"/>
        <v>.146</v>
      </c>
      <c r="F166">
        <f t="shared" ca="1" si="14"/>
        <v>0</v>
      </c>
      <c r="G166" t="str">
        <f t="shared" ca="1" si="13"/>
        <v>.146</v>
      </c>
      <c r="H166" t="str" cm="1">
        <f t="array" ref="H166">IF(ISERR(SEARCH(".pdf",C166,1)),"",FolderNumber(B166))</f>
        <v/>
      </c>
      <c r="I166">
        <f ca="1">IF(COUNTIF($H$2:H166,H166)&gt;99,COUNTIF($H$2:H166,H166), IF(COUNTIF($H$2:H166,H166)&lt;10,_xlfn.CONCAT("0",TEXT(COUNTIF($H$2:H166,H166),0)),_xlfn.CONCAT("",TEXT(COUNTIF($H$2:H166,H166),0))))</f>
        <v>146</v>
      </c>
    </row>
    <row r="167" spans="1:9" x14ac:dyDescent="0.25">
      <c r="A167" t="str">
        <f t="shared" ca="1" si="12"/>
        <v>.147</v>
      </c>
      <c r="F167">
        <f t="shared" ca="1" si="14"/>
        <v>0</v>
      </c>
      <c r="G167" t="str">
        <f t="shared" ca="1" si="13"/>
        <v>.147</v>
      </c>
      <c r="H167" t="str" cm="1">
        <f t="array" ref="H167">IF(ISERR(SEARCH(".pdf",C167,1)),"",FolderNumber(B167))</f>
        <v/>
      </c>
      <c r="I167">
        <f ca="1">IF(COUNTIF($H$2:H167,H167)&gt;99,COUNTIF($H$2:H167,H167), IF(COUNTIF($H$2:H167,H167)&lt;10,_xlfn.CONCAT("0",TEXT(COUNTIF($H$2:H167,H167),0)),_xlfn.CONCAT("",TEXT(COUNTIF($H$2:H167,H167),0))))</f>
        <v>147</v>
      </c>
    </row>
    <row r="168" spans="1:9" x14ac:dyDescent="0.25">
      <c r="A168" t="str">
        <f t="shared" ca="1" si="12"/>
        <v>.148</v>
      </c>
      <c r="F168">
        <f t="shared" ca="1" si="14"/>
        <v>0</v>
      </c>
      <c r="G168" t="str">
        <f t="shared" ca="1" si="13"/>
        <v>.148</v>
      </c>
      <c r="H168" t="str" cm="1">
        <f t="array" ref="H168">IF(ISERR(SEARCH(".pdf",C168,1)),"",FolderNumber(B168))</f>
        <v/>
      </c>
      <c r="I168">
        <f ca="1">IF(COUNTIF($H$2:H168,H168)&gt;99,COUNTIF($H$2:H168,H168), IF(COUNTIF($H$2:H168,H168)&lt;10,_xlfn.CONCAT("0",TEXT(COUNTIF($H$2:H168,H168),0)),_xlfn.CONCAT("",TEXT(COUNTIF($H$2:H168,H168),0))))</f>
        <v>148</v>
      </c>
    </row>
    <row r="169" spans="1:9" x14ac:dyDescent="0.25">
      <c r="A169" t="str">
        <f t="shared" ca="1" si="12"/>
        <v>.149</v>
      </c>
      <c r="F169">
        <f t="shared" ca="1" si="14"/>
        <v>0</v>
      </c>
      <c r="G169" t="str">
        <f t="shared" ca="1" si="13"/>
        <v>.149</v>
      </c>
      <c r="H169" t="str" cm="1">
        <f t="array" ref="H169">IF(ISERR(SEARCH(".pdf",C169,1)),"",FolderNumber(B169))</f>
        <v/>
      </c>
      <c r="I169">
        <f ca="1">IF(COUNTIF($H$2:H169,H169)&gt;99,COUNTIF($H$2:H169,H169), IF(COUNTIF($H$2:H169,H169)&lt;10,_xlfn.CONCAT("0",TEXT(COUNTIF($H$2:H169,H169),0)),_xlfn.CONCAT("",TEXT(COUNTIF($H$2:H169,H169),0))))</f>
        <v>149</v>
      </c>
    </row>
    <row r="170" spans="1:9" x14ac:dyDescent="0.25">
      <c r="A170" t="str">
        <f t="shared" ca="1" si="12"/>
        <v>.150</v>
      </c>
      <c r="F170">
        <f t="shared" ca="1" si="14"/>
        <v>0</v>
      </c>
      <c r="G170" t="str">
        <f t="shared" ca="1" si="13"/>
        <v>.150</v>
      </c>
      <c r="H170" t="str" cm="1">
        <f t="array" ref="H170">IF(ISERR(SEARCH(".pdf",C170,1)),"",FolderNumber(B170))</f>
        <v/>
      </c>
      <c r="I170">
        <f ca="1">IF(COUNTIF($H$2:H170,H170)&gt;99,COUNTIF($H$2:H170,H170), IF(COUNTIF($H$2:H170,H170)&lt;10,_xlfn.CONCAT("0",TEXT(COUNTIF($H$2:H170,H170),0)),_xlfn.CONCAT("",TEXT(COUNTIF($H$2:H170,H170),0))))</f>
        <v>150</v>
      </c>
    </row>
    <row r="171" spans="1:9" x14ac:dyDescent="0.25">
      <c r="A171" t="str">
        <f t="shared" ca="1" si="12"/>
        <v>.151</v>
      </c>
      <c r="F171">
        <f t="shared" ca="1" si="14"/>
        <v>0</v>
      </c>
      <c r="G171" t="str">
        <f t="shared" ca="1" si="13"/>
        <v>.151</v>
      </c>
      <c r="H171" t="str" cm="1">
        <f t="array" ref="H171">IF(ISERR(SEARCH(".pdf",C171,1)),"",FolderNumber(B171))</f>
        <v/>
      </c>
      <c r="I171">
        <f ca="1">IF(COUNTIF($H$2:H171,H171)&gt;99,COUNTIF($H$2:H171,H171), IF(COUNTIF($H$2:H171,H171)&lt;10,_xlfn.CONCAT("0",TEXT(COUNTIF($H$2:H171,H171),0)),_xlfn.CONCAT("",TEXT(COUNTIF($H$2:H171,H171),0))))</f>
        <v>151</v>
      </c>
    </row>
    <row r="172" spans="1:9" x14ac:dyDescent="0.25">
      <c r="A172" t="str">
        <f t="shared" ca="1" si="12"/>
        <v>.152</v>
      </c>
      <c r="F172">
        <f t="shared" ca="1" si="14"/>
        <v>0</v>
      </c>
      <c r="G172" t="str">
        <f t="shared" ca="1" si="13"/>
        <v>.152</v>
      </c>
      <c r="H172" t="str" cm="1">
        <f t="array" ref="H172">IF(ISERR(SEARCH(".pdf",C172,1)),"",FolderNumber(B172))</f>
        <v/>
      </c>
      <c r="I172">
        <f ca="1">IF(COUNTIF($H$2:H172,H172)&gt;99,COUNTIF($H$2:H172,H172), IF(COUNTIF($H$2:H172,H172)&lt;10,_xlfn.CONCAT("0",TEXT(COUNTIF($H$2:H172,H172),0)),_xlfn.CONCAT("",TEXT(COUNTIF($H$2:H172,H172),0))))</f>
        <v>152</v>
      </c>
    </row>
    <row r="173" spans="1:9" x14ac:dyDescent="0.25">
      <c r="A173" t="str">
        <f t="shared" ca="1" si="12"/>
        <v>.153</v>
      </c>
      <c r="F173">
        <f t="shared" ca="1" si="14"/>
        <v>0</v>
      </c>
      <c r="G173" t="str">
        <f t="shared" ca="1" si="13"/>
        <v>.153</v>
      </c>
      <c r="H173" t="str" cm="1">
        <f t="array" ref="H173">IF(ISERR(SEARCH(".pdf",C173,1)),"",FolderNumber(B173))</f>
        <v/>
      </c>
      <c r="I173">
        <f ca="1">IF(COUNTIF($H$2:H173,H173)&gt;99,COUNTIF($H$2:H173,H173), IF(COUNTIF($H$2:H173,H173)&lt;10,_xlfn.CONCAT("0",TEXT(COUNTIF($H$2:H173,H173),0)),_xlfn.CONCAT("",TEXT(COUNTIF($H$2:H173,H173),0))))</f>
        <v>153</v>
      </c>
    </row>
    <row r="174" spans="1:9" x14ac:dyDescent="0.25">
      <c r="A174" t="str">
        <f t="shared" ca="1" si="12"/>
        <v>.154</v>
      </c>
      <c r="F174">
        <f t="shared" ca="1" si="14"/>
        <v>0</v>
      </c>
      <c r="G174" t="str">
        <f t="shared" ca="1" si="13"/>
        <v>.154</v>
      </c>
      <c r="H174" t="str" cm="1">
        <f t="array" ref="H174">IF(ISERR(SEARCH(".pdf",C174,1)),"",FolderNumber(B174))</f>
        <v/>
      </c>
      <c r="I174">
        <f ca="1">IF(COUNTIF($H$2:H174,H174)&gt;99,COUNTIF($H$2:H174,H174), IF(COUNTIF($H$2:H174,H174)&lt;10,_xlfn.CONCAT("0",TEXT(COUNTIF($H$2:H174,H174),0)),_xlfn.CONCAT("",TEXT(COUNTIF($H$2:H174,H174),0))))</f>
        <v>154</v>
      </c>
    </row>
    <row r="175" spans="1:9" x14ac:dyDescent="0.25">
      <c r="A175" t="str">
        <f t="shared" ca="1" si="12"/>
        <v>.155</v>
      </c>
      <c r="F175">
        <f t="shared" ca="1" si="14"/>
        <v>0</v>
      </c>
      <c r="G175" t="str">
        <f t="shared" ca="1" si="13"/>
        <v>.155</v>
      </c>
      <c r="H175" t="str" cm="1">
        <f t="array" ref="H175">IF(ISERR(SEARCH(".pdf",C175,1)),"",FolderNumber(B175))</f>
        <v/>
      </c>
      <c r="I175">
        <f ca="1">IF(COUNTIF($H$2:H175,H175)&gt;99,COUNTIF($H$2:H175,H175), IF(COUNTIF($H$2:H175,H175)&lt;10,_xlfn.CONCAT("0",TEXT(COUNTIF($H$2:H175,H175),0)),_xlfn.CONCAT("",TEXT(COUNTIF($H$2:H175,H175),0))))</f>
        <v>155</v>
      </c>
    </row>
    <row r="176" spans="1:9" x14ac:dyDescent="0.25">
      <c r="A176" t="str">
        <f t="shared" ca="1" si="12"/>
        <v>.156</v>
      </c>
      <c r="F176">
        <f t="shared" ca="1" si="14"/>
        <v>0</v>
      </c>
      <c r="G176" t="str">
        <f t="shared" ca="1" si="13"/>
        <v>.156</v>
      </c>
      <c r="H176" t="str" cm="1">
        <f t="array" ref="H176">IF(ISERR(SEARCH(".pdf",C176,1)),"",FolderNumber(B176))</f>
        <v/>
      </c>
      <c r="I176">
        <f ca="1">IF(COUNTIF($H$2:H176,H176)&gt;99,COUNTIF($H$2:H176,H176), IF(COUNTIF($H$2:H176,H176)&lt;10,_xlfn.CONCAT("0",TEXT(COUNTIF($H$2:H176,H176),0)),_xlfn.CONCAT("",TEXT(COUNTIF($H$2:H176,H176),0))))</f>
        <v>156</v>
      </c>
    </row>
    <row r="177" spans="1:9" x14ac:dyDescent="0.25">
      <c r="A177" t="str">
        <f t="shared" ca="1" si="12"/>
        <v>.157</v>
      </c>
      <c r="F177">
        <f t="shared" ca="1" si="14"/>
        <v>0</v>
      </c>
      <c r="G177" t="str">
        <f t="shared" ca="1" si="13"/>
        <v>.157</v>
      </c>
      <c r="H177" t="str" cm="1">
        <f t="array" ref="H177">IF(ISERR(SEARCH(".pdf",C177,1)),"",FolderNumber(B177))</f>
        <v/>
      </c>
      <c r="I177">
        <f ca="1">IF(COUNTIF($H$2:H177,H177)&gt;99,COUNTIF($H$2:H177,H177), IF(COUNTIF($H$2:H177,H177)&lt;10,_xlfn.CONCAT("0",TEXT(COUNTIF($H$2:H177,H177),0)),_xlfn.CONCAT("",TEXT(COUNTIF($H$2:H177,H177),0))))</f>
        <v>157</v>
      </c>
    </row>
    <row r="178" spans="1:9" x14ac:dyDescent="0.25">
      <c r="A178" t="str">
        <f t="shared" ca="1" si="12"/>
        <v>.158</v>
      </c>
      <c r="F178">
        <f t="shared" ca="1" si="14"/>
        <v>0</v>
      </c>
      <c r="G178" t="str">
        <f t="shared" ca="1" si="13"/>
        <v>.158</v>
      </c>
      <c r="H178" t="str" cm="1">
        <f t="array" ref="H178">IF(ISERR(SEARCH(".pdf",C178,1)),"",FolderNumber(B178))</f>
        <v/>
      </c>
      <c r="I178">
        <f ca="1">IF(COUNTIF($H$2:H178,H178)&gt;99,COUNTIF($H$2:H178,H178), IF(COUNTIF($H$2:H178,H178)&lt;10,_xlfn.CONCAT("0",TEXT(COUNTIF($H$2:H178,H178),0)),_xlfn.CONCAT("",TEXT(COUNTIF($H$2:H178,H178),0))))</f>
        <v>158</v>
      </c>
    </row>
    <row r="179" spans="1:9" x14ac:dyDescent="0.25">
      <c r="A179" t="str">
        <f t="shared" ca="1" si="12"/>
        <v>.159</v>
      </c>
      <c r="F179">
        <f t="shared" ca="1" si="14"/>
        <v>0</v>
      </c>
      <c r="G179" t="str">
        <f t="shared" ca="1" si="13"/>
        <v>.159</v>
      </c>
      <c r="H179" t="str" cm="1">
        <f t="array" ref="H179">IF(ISERR(SEARCH(".pdf",C179,1)),"",FolderNumber(B179))</f>
        <v/>
      </c>
      <c r="I179">
        <f ca="1">IF(COUNTIF($H$2:H179,H179)&gt;99,COUNTIF($H$2:H179,H179), IF(COUNTIF($H$2:H179,H179)&lt;10,_xlfn.CONCAT("0",TEXT(COUNTIF($H$2:H179,H179),0)),_xlfn.CONCAT("",TEXT(COUNTIF($H$2:H179,H179),0))))</f>
        <v>159</v>
      </c>
    </row>
    <row r="180" spans="1:9" x14ac:dyDescent="0.25">
      <c r="A180" t="str">
        <f t="shared" ca="1" si="12"/>
        <v>.160</v>
      </c>
      <c r="F180">
        <f t="shared" ca="1" si="14"/>
        <v>0</v>
      </c>
      <c r="G180" t="str">
        <f t="shared" ca="1" si="13"/>
        <v>.160</v>
      </c>
      <c r="H180" t="str" cm="1">
        <f t="array" ref="H180">IF(ISERR(SEARCH(".pdf",C180,1)),"",FolderNumber(B180))</f>
        <v/>
      </c>
      <c r="I180">
        <f ca="1">IF(COUNTIF($H$2:H180,H180)&gt;99,COUNTIF($H$2:H180,H180), IF(COUNTIF($H$2:H180,H180)&lt;10,_xlfn.CONCAT("0",TEXT(COUNTIF($H$2:H180,H180),0)),_xlfn.CONCAT("",TEXT(COUNTIF($H$2:H180,H180),0))))</f>
        <v>160</v>
      </c>
    </row>
    <row r="181" spans="1:9" x14ac:dyDescent="0.25">
      <c r="A181" t="str">
        <f t="shared" ca="1" si="12"/>
        <v>.161</v>
      </c>
      <c r="F181">
        <f t="shared" ca="1" si="14"/>
        <v>0</v>
      </c>
      <c r="G181" t="str">
        <f t="shared" ca="1" si="13"/>
        <v>.161</v>
      </c>
      <c r="H181" t="str" cm="1">
        <f t="array" ref="H181">IF(ISERR(SEARCH(".pdf",C181,1)),"",FolderNumber(B181))</f>
        <v/>
      </c>
      <c r="I181">
        <f ca="1">IF(COUNTIF($H$2:H181,H181)&gt;99,COUNTIF($H$2:H181,H181), IF(COUNTIF($H$2:H181,H181)&lt;10,_xlfn.CONCAT("0",TEXT(COUNTIF($H$2:H181,H181),0)),_xlfn.CONCAT("",TEXT(COUNTIF($H$2:H181,H181),0))))</f>
        <v>161</v>
      </c>
    </row>
    <row r="182" spans="1:9" x14ac:dyDescent="0.25">
      <c r="A182" t="str">
        <f t="shared" ca="1" si="12"/>
        <v>.162</v>
      </c>
      <c r="F182">
        <f t="shared" ca="1" si="14"/>
        <v>0</v>
      </c>
      <c r="G182" t="str">
        <f t="shared" ca="1" si="13"/>
        <v>.162</v>
      </c>
      <c r="H182" t="str" cm="1">
        <f t="array" ref="H182">IF(ISERR(SEARCH(".pdf",C182,1)),"",FolderNumber(B182))</f>
        <v/>
      </c>
      <c r="I182">
        <f ca="1">IF(COUNTIF($H$2:H182,H182)&gt;99,COUNTIF($H$2:H182,H182), IF(COUNTIF($H$2:H182,H182)&lt;10,_xlfn.CONCAT("0",TEXT(COUNTIF($H$2:H182,H182),0)),_xlfn.CONCAT("",TEXT(COUNTIF($H$2:H182,H182),0))))</f>
        <v>162</v>
      </c>
    </row>
    <row r="183" spans="1:9" x14ac:dyDescent="0.25">
      <c r="A183" t="str">
        <f t="shared" ca="1" si="12"/>
        <v>.163</v>
      </c>
      <c r="F183">
        <f t="shared" ca="1" si="14"/>
        <v>0</v>
      </c>
      <c r="G183" t="str">
        <f t="shared" ca="1" si="13"/>
        <v>.163</v>
      </c>
      <c r="H183" t="str" cm="1">
        <f t="array" ref="H183">IF(ISERR(SEARCH(".pdf",C183,1)),"",FolderNumber(B183))</f>
        <v/>
      </c>
      <c r="I183">
        <f ca="1">IF(COUNTIF($H$2:H183,H183)&gt;99,COUNTIF($H$2:H183,H183), IF(COUNTIF($H$2:H183,H183)&lt;10,_xlfn.CONCAT("0",TEXT(COUNTIF($H$2:H183,H183),0)),_xlfn.CONCAT("",TEXT(COUNTIF($H$2:H183,H183),0))))</f>
        <v>163</v>
      </c>
    </row>
    <row r="184" spans="1:9" x14ac:dyDescent="0.25">
      <c r="A184" t="str">
        <f t="shared" ca="1" si="12"/>
        <v>.164</v>
      </c>
      <c r="F184">
        <f t="shared" ca="1" si="14"/>
        <v>0</v>
      </c>
      <c r="G184" t="str">
        <f t="shared" ca="1" si="13"/>
        <v>.164</v>
      </c>
      <c r="H184" t="str" cm="1">
        <f t="array" ref="H184">IF(ISERR(SEARCH(".pdf",C184,1)),"",FolderNumber(B184))</f>
        <v/>
      </c>
      <c r="I184">
        <f ca="1">IF(COUNTIF($H$2:H184,H184)&gt;99,COUNTIF($H$2:H184,H184), IF(COUNTIF($H$2:H184,H184)&lt;10,_xlfn.CONCAT("0",TEXT(COUNTIF($H$2:H184,H184),0)),_xlfn.CONCAT("",TEXT(COUNTIF($H$2:H184,H184),0))))</f>
        <v>164</v>
      </c>
    </row>
    <row r="185" spans="1:9" x14ac:dyDescent="0.25">
      <c r="A185" t="str">
        <f t="shared" ca="1" si="12"/>
        <v>.165</v>
      </c>
      <c r="F185">
        <f t="shared" ca="1" si="14"/>
        <v>0</v>
      </c>
      <c r="G185" t="str">
        <f t="shared" ca="1" si="13"/>
        <v>.165</v>
      </c>
      <c r="H185" t="str" cm="1">
        <f t="array" ref="H185">IF(ISERR(SEARCH(".pdf",C185,1)),"",FolderNumber(B185))</f>
        <v/>
      </c>
      <c r="I185">
        <f ca="1">IF(COUNTIF($H$2:H185,H185)&gt;99,COUNTIF($H$2:H185,H185), IF(COUNTIF($H$2:H185,H185)&lt;10,_xlfn.CONCAT("0",TEXT(COUNTIF($H$2:H185,H185),0)),_xlfn.CONCAT("",TEXT(COUNTIF($H$2:H185,H185),0))))</f>
        <v>165</v>
      </c>
    </row>
    <row r="186" spans="1:9" x14ac:dyDescent="0.25">
      <c r="A186" t="str">
        <f t="shared" ca="1" si="12"/>
        <v>.166</v>
      </c>
      <c r="F186">
        <f t="shared" ca="1" si="14"/>
        <v>0</v>
      </c>
      <c r="G186" t="str">
        <f t="shared" ca="1" si="13"/>
        <v>.166</v>
      </c>
      <c r="H186" t="str" cm="1">
        <f t="array" ref="H186">IF(ISERR(SEARCH(".pdf",C186,1)),"",FolderNumber(B186))</f>
        <v/>
      </c>
      <c r="I186">
        <f ca="1">IF(COUNTIF($H$2:H186,H186)&gt;99,COUNTIF($H$2:H186,H186), IF(COUNTIF($H$2:H186,H186)&lt;10,_xlfn.CONCAT("0",TEXT(COUNTIF($H$2:H186,H186),0)),_xlfn.CONCAT("",TEXT(COUNTIF($H$2:H186,H186),0))))</f>
        <v>166</v>
      </c>
    </row>
    <row r="187" spans="1:9" x14ac:dyDescent="0.25">
      <c r="A187" t="str">
        <f t="shared" ca="1" si="12"/>
        <v>.167</v>
      </c>
      <c r="F187">
        <f t="shared" ca="1" si="14"/>
        <v>0</v>
      </c>
      <c r="G187" t="str">
        <f t="shared" ca="1" si="13"/>
        <v>.167</v>
      </c>
      <c r="H187" t="str" cm="1">
        <f t="array" ref="H187">IF(ISERR(SEARCH(".pdf",C187,1)),"",FolderNumber(B187))</f>
        <v/>
      </c>
      <c r="I187">
        <f ca="1">IF(COUNTIF($H$2:H187,H187)&gt;99,COUNTIF($H$2:H187,H187), IF(COUNTIF($H$2:H187,H187)&lt;10,_xlfn.CONCAT("0",TEXT(COUNTIF($H$2:H187,H187),0)),_xlfn.CONCAT("",TEXT(COUNTIF($H$2:H187,H187),0))))</f>
        <v>167</v>
      </c>
    </row>
    <row r="188" spans="1:9" x14ac:dyDescent="0.25">
      <c r="A188" t="str">
        <f t="shared" ca="1" si="12"/>
        <v>.168</v>
      </c>
      <c r="F188">
        <f t="shared" ca="1" si="14"/>
        <v>0</v>
      </c>
      <c r="G188" t="str">
        <f t="shared" ca="1" si="13"/>
        <v>.168</v>
      </c>
      <c r="H188" t="str" cm="1">
        <f t="array" ref="H188">IF(ISERR(SEARCH(".pdf",C188,1)),"",FolderNumber(B188))</f>
        <v/>
      </c>
      <c r="I188">
        <f ca="1">IF(COUNTIF($H$2:H188,H188)&gt;99,COUNTIF($H$2:H188,H188), IF(COUNTIF($H$2:H188,H188)&lt;10,_xlfn.CONCAT("0",TEXT(COUNTIF($H$2:H188,H188),0)),_xlfn.CONCAT("",TEXT(COUNTIF($H$2:H188,H188),0))))</f>
        <v>168</v>
      </c>
    </row>
    <row r="189" spans="1:9" x14ac:dyDescent="0.25">
      <c r="A189" t="str">
        <f t="shared" ca="1" si="12"/>
        <v>.169</v>
      </c>
      <c r="F189">
        <f t="shared" ca="1" si="14"/>
        <v>0</v>
      </c>
      <c r="G189" t="str">
        <f t="shared" ca="1" si="13"/>
        <v>.169</v>
      </c>
      <c r="H189" t="str" cm="1">
        <f t="array" ref="H189">IF(ISERR(SEARCH(".pdf",C189,1)),"",FolderNumber(B189))</f>
        <v/>
      </c>
      <c r="I189">
        <f ca="1">IF(COUNTIF($H$2:H189,H189)&gt;99,COUNTIF($H$2:H189,H189), IF(COUNTIF($H$2:H189,H189)&lt;10,_xlfn.CONCAT("0",TEXT(COUNTIF($H$2:H189,H189),0)),_xlfn.CONCAT("",TEXT(COUNTIF($H$2:H189,H189),0))))</f>
        <v>169</v>
      </c>
    </row>
    <row r="190" spans="1:9" x14ac:dyDescent="0.25">
      <c r="A190" t="str">
        <f t="shared" ca="1" si="12"/>
        <v>.170</v>
      </c>
      <c r="F190">
        <f t="shared" ca="1" si="14"/>
        <v>0</v>
      </c>
      <c r="G190" t="str">
        <f t="shared" ca="1" si="13"/>
        <v>.170</v>
      </c>
      <c r="H190" t="str" cm="1">
        <f t="array" ref="H190">IF(ISERR(SEARCH(".pdf",C190,1)),"",FolderNumber(B190))</f>
        <v/>
      </c>
      <c r="I190">
        <f ca="1">IF(COUNTIF($H$2:H190,H190)&gt;99,COUNTIF($H$2:H190,H190), IF(COUNTIF($H$2:H190,H190)&lt;10,_xlfn.CONCAT("0",TEXT(COUNTIF($H$2:H190,H190),0)),_xlfn.CONCAT("",TEXT(COUNTIF($H$2:H190,H190),0))))</f>
        <v>170</v>
      </c>
    </row>
    <row r="191" spans="1:9" x14ac:dyDescent="0.25">
      <c r="A191" t="str">
        <f t="shared" ca="1" si="12"/>
        <v>.171</v>
      </c>
      <c r="F191">
        <f ca="1">IF(OR(ISERR(SEARCH(".pdf",C191,1)),ISBLANK(G191)),C191,_xlfn.CONCAT(A191," - ",C191))</f>
        <v>0</v>
      </c>
      <c r="G191" t="str">
        <f t="shared" ca="1" si="13"/>
        <v>.171</v>
      </c>
      <c r="H191" t="str" cm="1">
        <f t="array" ref="H191">IF(ISERR(SEARCH(".pdf",C191,1)),"",FolderNumber(B191))</f>
        <v/>
      </c>
      <c r="I191">
        <f ca="1">IF(COUNTIF($H$2:H191,H191)&gt;99,COUNTIF($H$2:H191,H191), IF(COUNTIF($H$2:H191,H191)&lt;10,_xlfn.CONCAT("0",TEXT(COUNTIF($H$2:H191,H191),0)),_xlfn.CONCAT("",TEXT(COUNTIF($H$2:H191,H191),0))))</f>
        <v>171</v>
      </c>
    </row>
    <row r="192" spans="1:9" x14ac:dyDescent="0.25">
      <c r="A192" t="str">
        <f t="shared" ref="A192:A255" ca="1" si="15">G192</f>
        <v>.172</v>
      </c>
      <c r="F192">
        <f ca="1">IF(OR(ISERR(SEARCH(".pdf",C192,1)),ISBLANK(G192)),C192,_xlfn.CONCAT(A192," - ",C192))</f>
        <v>0</v>
      </c>
      <c r="G192" t="str">
        <f t="shared" ref="G192:G255" ca="1" si="16">_xlfn.CONCAT(H192,".",I192)</f>
        <v>.172</v>
      </c>
      <c r="H192" t="str" cm="1">
        <f t="array" ref="H192">IF(ISERR(SEARCH(".pdf",C192,1)),"",FolderNumber(B192))</f>
        <v/>
      </c>
      <c r="I192">
        <f ca="1">IF(COUNTIF($H$2:H192,H192)&gt;99,COUNTIF($H$2:H192,H192), IF(COUNTIF($H$2:H192,H192)&lt;10,_xlfn.CONCAT("0",TEXT(COUNTIF($H$2:H192,H192),0)),_xlfn.CONCAT("",TEXT(COUNTIF($H$2:H192,H192),0))))</f>
        <v>172</v>
      </c>
    </row>
    <row r="193" spans="1:9" x14ac:dyDescent="0.25">
      <c r="A193" t="str">
        <f t="shared" ca="1" si="15"/>
        <v>.173</v>
      </c>
      <c r="F193">
        <f t="shared" ca="1" si="14"/>
        <v>0</v>
      </c>
      <c r="G193" t="str">
        <f t="shared" ca="1" si="16"/>
        <v>.173</v>
      </c>
      <c r="H193" t="str" cm="1">
        <f t="array" ref="H193">IF(ISERR(SEARCH(".pdf",C193,1)),"",FolderNumber(B193))</f>
        <v/>
      </c>
      <c r="I193">
        <f ca="1">IF(COUNTIF($H$2:H193,H193)&gt;99,COUNTIF($H$2:H193,H193), IF(COUNTIF($H$2:H193,H193)&lt;10,_xlfn.CONCAT("0",TEXT(COUNTIF($H$2:H193,H193),0)),_xlfn.CONCAT("",TEXT(COUNTIF($H$2:H193,H193),0))))</f>
        <v>173</v>
      </c>
    </row>
    <row r="194" spans="1:9" x14ac:dyDescent="0.25">
      <c r="A194" t="str">
        <f t="shared" ca="1" si="15"/>
        <v>.174</v>
      </c>
      <c r="F194">
        <f t="shared" ca="1" si="14"/>
        <v>0</v>
      </c>
      <c r="G194" t="str">
        <f t="shared" ca="1" si="16"/>
        <v>.174</v>
      </c>
      <c r="H194" t="str" cm="1">
        <f t="array" ref="H194">IF(ISERR(SEARCH(".pdf",C194,1)),"",FolderNumber(B194))</f>
        <v/>
      </c>
      <c r="I194">
        <f ca="1">IF(COUNTIF($H$2:H194,H194)&gt;99,COUNTIF($H$2:H194,H194), IF(COUNTIF($H$2:H194,H194)&lt;10,_xlfn.CONCAT("0",TEXT(COUNTIF($H$2:H194,H194),0)),_xlfn.CONCAT("",TEXT(COUNTIF($H$2:H194,H194),0))))</f>
        <v>174</v>
      </c>
    </row>
    <row r="195" spans="1:9" x14ac:dyDescent="0.25">
      <c r="A195" t="str">
        <f t="shared" ca="1" si="15"/>
        <v>.175</v>
      </c>
      <c r="F195">
        <f t="shared" ca="1" si="14"/>
        <v>0</v>
      </c>
      <c r="G195" t="str">
        <f t="shared" ca="1" si="16"/>
        <v>.175</v>
      </c>
      <c r="H195" t="str" cm="1">
        <f t="array" ref="H195">IF(ISERR(SEARCH(".pdf",C195,1)),"",FolderNumber(B195))</f>
        <v/>
      </c>
      <c r="I195">
        <f ca="1">IF(COUNTIF($H$2:H195,H195)&gt;99,COUNTIF($H$2:H195,H195), IF(COUNTIF($H$2:H195,H195)&lt;10,_xlfn.CONCAT("0",TEXT(COUNTIF($H$2:H195,H195),0)),_xlfn.CONCAT("",TEXT(COUNTIF($H$2:H195,H195),0))))</f>
        <v>175</v>
      </c>
    </row>
    <row r="196" spans="1:9" x14ac:dyDescent="0.25">
      <c r="A196" t="str">
        <f t="shared" ca="1" si="15"/>
        <v>.176</v>
      </c>
      <c r="F196">
        <f t="shared" ca="1" si="14"/>
        <v>0</v>
      </c>
      <c r="G196" t="str">
        <f t="shared" ca="1" si="16"/>
        <v>.176</v>
      </c>
      <c r="H196" t="str" cm="1">
        <f t="array" ref="H196">IF(ISERR(SEARCH(".pdf",C196,1)),"",FolderNumber(B196))</f>
        <v/>
      </c>
      <c r="I196">
        <f ca="1">IF(COUNTIF($H$2:H196,H196)&gt;99,COUNTIF($H$2:H196,H196), IF(COUNTIF($H$2:H196,H196)&lt;10,_xlfn.CONCAT("0",TEXT(COUNTIF($H$2:H196,H196),0)),_xlfn.CONCAT("",TEXT(COUNTIF($H$2:H196,H196),0))))</f>
        <v>176</v>
      </c>
    </row>
    <row r="197" spans="1:9" x14ac:dyDescent="0.25">
      <c r="A197" t="str">
        <f t="shared" ca="1" si="15"/>
        <v>.177</v>
      </c>
      <c r="F197">
        <f t="shared" ca="1" si="14"/>
        <v>0</v>
      </c>
      <c r="G197" t="str">
        <f t="shared" ca="1" si="16"/>
        <v>.177</v>
      </c>
      <c r="H197" t="str" cm="1">
        <f t="array" ref="H197">IF(ISERR(SEARCH(".pdf",C197,1)),"",FolderNumber(B197))</f>
        <v/>
      </c>
      <c r="I197">
        <f ca="1">IF(COUNTIF($H$2:H197,H197)&gt;99,COUNTIF($H$2:H197,H197), IF(COUNTIF($H$2:H197,H197)&lt;10,_xlfn.CONCAT("0",TEXT(COUNTIF($H$2:H197,H197),0)),_xlfn.CONCAT("",TEXT(COUNTIF($H$2:H197,H197),0))))</f>
        <v>177</v>
      </c>
    </row>
    <row r="198" spans="1:9" x14ac:dyDescent="0.25">
      <c r="A198" t="str">
        <f t="shared" ca="1" si="15"/>
        <v>.178</v>
      </c>
      <c r="F198">
        <f t="shared" ca="1" si="14"/>
        <v>0</v>
      </c>
      <c r="G198" t="str">
        <f t="shared" ca="1" si="16"/>
        <v>.178</v>
      </c>
      <c r="H198" t="str" cm="1">
        <f t="array" ref="H198">IF(ISERR(SEARCH(".pdf",C198,1)),"",FolderNumber(B198))</f>
        <v/>
      </c>
      <c r="I198">
        <f ca="1">IF(COUNTIF($H$2:H198,H198)&gt;99,COUNTIF($H$2:H198,H198), IF(COUNTIF($H$2:H198,H198)&lt;10,_xlfn.CONCAT("0",TEXT(COUNTIF($H$2:H198,H198),0)),_xlfn.CONCAT("",TEXT(COUNTIF($H$2:H198,H198),0))))</f>
        <v>178</v>
      </c>
    </row>
    <row r="199" spans="1:9" x14ac:dyDescent="0.25">
      <c r="A199" t="str">
        <f t="shared" ca="1" si="15"/>
        <v>.179</v>
      </c>
      <c r="F199">
        <f t="shared" ca="1" si="14"/>
        <v>0</v>
      </c>
      <c r="G199" t="str">
        <f t="shared" ca="1" si="16"/>
        <v>.179</v>
      </c>
      <c r="H199" t="str" cm="1">
        <f t="array" ref="H199">IF(ISERR(SEARCH(".pdf",C199,1)),"",FolderNumber(B199))</f>
        <v/>
      </c>
      <c r="I199">
        <f ca="1">IF(COUNTIF($H$2:H199,H199)&gt;99,COUNTIF($H$2:H199,H199), IF(COUNTIF($H$2:H199,H199)&lt;10,_xlfn.CONCAT("0",TEXT(COUNTIF($H$2:H199,H199),0)),_xlfn.CONCAT("",TEXT(COUNTIF($H$2:H199,H199),0))))</f>
        <v>179</v>
      </c>
    </row>
    <row r="200" spans="1:9" x14ac:dyDescent="0.25">
      <c r="A200" t="str">
        <f t="shared" ca="1" si="15"/>
        <v>.180</v>
      </c>
      <c r="F200">
        <f t="shared" ca="1" si="14"/>
        <v>0</v>
      </c>
      <c r="G200" t="str">
        <f t="shared" ca="1" si="16"/>
        <v>.180</v>
      </c>
      <c r="H200" t="str" cm="1">
        <f t="array" ref="H200">IF(ISERR(SEARCH(".pdf",C200,1)),"",FolderNumber(B200))</f>
        <v/>
      </c>
      <c r="I200">
        <f ca="1">IF(COUNTIF($H$2:H200,H200)&gt;99,COUNTIF($H$2:H200,H200), IF(COUNTIF($H$2:H200,H200)&lt;10,_xlfn.CONCAT("0",TEXT(COUNTIF($H$2:H200,H200),0)),_xlfn.CONCAT("",TEXT(COUNTIF($H$2:H200,H200),0))))</f>
        <v>180</v>
      </c>
    </row>
    <row r="201" spans="1:9" x14ac:dyDescent="0.25">
      <c r="A201" t="str">
        <f t="shared" ca="1" si="15"/>
        <v>.181</v>
      </c>
      <c r="F201">
        <f t="shared" ca="1" si="14"/>
        <v>0</v>
      </c>
      <c r="G201" t="str">
        <f t="shared" ca="1" si="16"/>
        <v>.181</v>
      </c>
      <c r="H201" t="str" cm="1">
        <f t="array" ref="H201">IF(ISERR(SEARCH(".pdf",C201,1)),"",FolderNumber(B201))</f>
        <v/>
      </c>
      <c r="I201">
        <f ca="1">IF(COUNTIF($H$2:H201,H201)&gt;99,COUNTIF($H$2:H201,H201), IF(COUNTIF($H$2:H201,H201)&lt;10,_xlfn.CONCAT("0",TEXT(COUNTIF($H$2:H201,H201),0)),_xlfn.CONCAT("",TEXT(COUNTIF($H$2:H201,H201),0))))</f>
        <v>181</v>
      </c>
    </row>
    <row r="202" spans="1:9" x14ac:dyDescent="0.25">
      <c r="A202" t="str">
        <f t="shared" ca="1" si="15"/>
        <v>.182</v>
      </c>
      <c r="F202">
        <f t="shared" ca="1" si="14"/>
        <v>0</v>
      </c>
      <c r="G202" t="str">
        <f t="shared" ca="1" si="16"/>
        <v>.182</v>
      </c>
      <c r="H202" t="str" cm="1">
        <f t="array" ref="H202">IF(ISERR(SEARCH(".pdf",C202,1)),"",FolderNumber(B202))</f>
        <v/>
      </c>
      <c r="I202">
        <f ca="1">IF(COUNTIF($H$2:H202,H202)&gt;99,COUNTIF($H$2:H202,H202), IF(COUNTIF($H$2:H202,H202)&lt;10,_xlfn.CONCAT("0",TEXT(COUNTIF($H$2:H202,H202),0)),_xlfn.CONCAT("",TEXT(COUNTIF($H$2:H202,H202),0))))</f>
        <v>182</v>
      </c>
    </row>
    <row r="203" spans="1:9" x14ac:dyDescent="0.25">
      <c r="A203" t="str">
        <f t="shared" ca="1" si="15"/>
        <v>.183</v>
      </c>
      <c r="F203">
        <f t="shared" ca="1" si="14"/>
        <v>0</v>
      </c>
      <c r="G203" t="str">
        <f t="shared" ca="1" si="16"/>
        <v>.183</v>
      </c>
      <c r="H203" t="str" cm="1">
        <f t="array" ref="H203">IF(ISERR(SEARCH(".pdf",C203,1)),"",FolderNumber(B203))</f>
        <v/>
      </c>
      <c r="I203">
        <f ca="1">IF(COUNTIF($H$2:H203,H203)&gt;99,COUNTIF($H$2:H203,H203), IF(COUNTIF($H$2:H203,H203)&lt;10,_xlfn.CONCAT("0",TEXT(COUNTIF($H$2:H203,H203),0)),_xlfn.CONCAT("",TEXT(COUNTIF($H$2:H203,H203),0))))</f>
        <v>183</v>
      </c>
    </row>
    <row r="204" spans="1:9" x14ac:dyDescent="0.25">
      <c r="A204" t="str">
        <f t="shared" ca="1" si="15"/>
        <v>.184</v>
      </c>
      <c r="F204">
        <f t="shared" ca="1" si="14"/>
        <v>0</v>
      </c>
      <c r="G204" t="str">
        <f t="shared" ca="1" si="16"/>
        <v>.184</v>
      </c>
      <c r="H204" t="str" cm="1">
        <f t="array" ref="H204">IF(ISERR(SEARCH(".pdf",C204,1)),"",FolderNumber(B204))</f>
        <v/>
      </c>
      <c r="I204">
        <f ca="1">IF(COUNTIF($H$2:H204,H204)&gt;99,COUNTIF($H$2:H204,H204), IF(COUNTIF($H$2:H204,H204)&lt;10,_xlfn.CONCAT("0",TEXT(COUNTIF($H$2:H204,H204),0)),_xlfn.CONCAT("",TEXT(COUNTIF($H$2:H204,H204),0))))</f>
        <v>184</v>
      </c>
    </row>
    <row r="205" spans="1:9" x14ac:dyDescent="0.25">
      <c r="A205" t="str">
        <f t="shared" ca="1" si="15"/>
        <v>.185</v>
      </c>
      <c r="F205">
        <f t="shared" ca="1" si="14"/>
        <v>0</v>
      </c>
      <c r="G205" t="str">
        <f t="shared" ca="1" si="16"/>
        <v>.185</v>
      </c>
      <c r="H205" t="str" cm="1">
        <f t="array" ref="H205">IF(ISERR(SEARCH(".pdf",C205,1)),"",FolderNumber(B205))</f>
        <v/>
      </c>
      <c r="I205">
        <f ca="1">IF(COUNTIF($H$2:H205,H205)&gt;99,COUNTIF($H$2:H205,H205), IF(COUNTIF($H$2:H205,H205)&lt;10,_xlfn.CONCAT("0",TEXT(COUNTIF($H$2:H205,H205),0)),_xlfn.CONCAT("",TEXT(COUNTIF($H$2:H205,H205),0))))</f>
        <v>185</v>
      </c>
    </row>
    <row r="206" spans="1:9" x14ac:dyDescent="0.25">
      <c r="A206" t="str">
        <f t="shared" ca="1" si="15"/>
        <v>.186</v>
      </c>
      <c r="F206">
        <f t="shared" ca="1" si="14"/>
        <v>0</v>
      </c>
      <c r="G206" t="str">
        <f t="shared" ca="1" si="16"/>
        <v>.186</v>
      </c>
      <c r="H206" t="str" cm="1">
        <f t="array" ref="H206">IF(ISERR(SEARCH(".pdf",C206,1)),"",FolderNumber(B206))</f>
        <v/>
      </c>
      <c r="I206">
        <f ca="1">IF(COUNTIF($H$2:H206,H206)&gt;99,COUNTIF($H$2:H206,H206), IF(COUNTIF($H$2:H206,H206)&lt;10,_xlfn.CONCAT("0",TEXT(COUNTIF($H$2:H206,H206),0)),_xlfn.CONCAT("",TEXT(COUNTIF($H$2:H206,H206),0))))</f>
        <v>186</v>
      </c>
    </row>
    <row r="207" spans="1:9" x14ac:dyDescent="0.25">
      <c r="A207" t="str">
        <f t="shared" ca="1" si="15"/>
        <v>.187</v>
      </c>
      <c r="F207">
        <f t="shared" ca="1" si="14"/>
        <v>0</v>
      </c>
      <c r="G207" t="str">
        <f t="shared" ca="1" si="16"/>
        <v>.187</v>
      </c>
      <c r="H207" t="str" cm="1">
        <f t="array" ref="H207">IF(ISERR(SEARCH(".pdf",C207,1)),"",FolderNumber(B207))</f>
        <v/>
      </c>
      <c r="I207">
        <f ca="1">IF(COUNTIF($H$2:H207,H207)&gt;99,COUNTIF($H$2:H207,H207), IF(COUNTIF($H$2:H207,H207)&lt;10,_xlfn.CONCAT("0",TEXT(COUNTIF($H$2:H207,H207),0)),_xlfn.CONCAT("",TEXT(COUNTIF($H$2:H207,H207),0))))</f>
        <v>187</v>
      </c>
    </row>
    <row r="208" spans="1:9" x14ac:dyDescent="0.25">
      <c r="A208" t="str">
        <f t="shared" ca="1" si="15"/>
        <v>.188</v>
      </c>
      <c r="F208">
        <f t="shared" ca="1" si="14"/>
        <v>0</v>
      </c>
      <c r="G208" t="str">
        <f t="shared" ca="1" si="16"/>
        <v>.188</v>
      </c>
      <c r="H208" t="str" cm="1">
        <f t="array" ref="H208">IF(ISERR(SEARCH(".pdf",C208,1)),"",FolderNumber(B208))</f>
        <v/>
      </c>
      <c r="I208">
        <f ca="1">IF(COUNTIF($H$2:H208,H208)&gt;99,COUNTIF($H$2:H208,H208), IF(COUNTIF($H$2:H208,H208)&lt;10,_xlfn.CONCAT("0",TEXT(COUNTIF($H$2:H208,H208),0)),_xlfn.CONCAT("",TEXT(COUNTIF($H$2:H208,H208),0))))</f>
        <v>188</v>
      </c>
    </row>
    <row r="209" spans="1:9" x14ac:dyDescent="0.25">
      <c r="A209" t="str">
        <f t="shared" ca="1" si="15"/>
        <v>.189</v>
      </c>
      <c r="F209">
        <f t="shared" ca="1" si="14"/>
        <v>0</v>
      </c>
      <c r="G209" t="str">
        <f t="shared" ca="1" si="16"/>
        <v>.189</v>
      </c>
      <c r="H209" t="str" cm="1">
        <f t="array" ref="H209">IF(ISERR(SEARCH(".pdf",C209,1)),"",FolderNumber(B209))</f>
        <v/>
      </c>
      <c r="I209">
        <f ca="1">IF(COUNTIF($H$2:H209,H209)&gt;99,COUNTIF($H$2:H209,H209), IF(COUNTIF($H$2:H209,H209)&lt;10,_xlfn.CONCAT("0",TEXT(COUNTIF($H$2:H209,H209),0)),_xlfn.CONCAT("",TEXT(COUNTIF($H$2:H209,H209),0))))</f>
        <v>189</v>
      </c>
    </row>
    <row r="210" spans="1:9" x14ac:dyDescent="0.25">
      <c r="A210" t="str">
        <f t="shared" ca="1" si="15"/>
        <v>.190</v>
      </c>
      <c r="F210">
        <f t="shared" ca="1" si="14"/>
        <v>0</v>
      </c>
      <c r="G210" t="str">
        <f t="shared" ca="1" si="16"/>
        <v>.190</v>
      </c>
      <c r="H210" t="str" cm="1">
        <f t="array" ref="H210">IF(ISERR(SEARCH(".pdf",C210,1)),"",FolderNumber(B210))</f>
        <v/>
      </c>
      <c r="I210">
        <f ca="1">IF(COUNTIF($H$2:H210,H210)&gt;99,COUNTIF($H$2:H210,H210), IF(COUNTIF($H$2:H210,H210)&lt;10,_xlfn.CONCAT("0",TEXT(COUNTIF($H$2:H210,H210),0)),_xlfn.CONCAT("",TEXT(COUNTIF($H$2:H210,H210),0))))</f>
        <v>190</v>
      </c>
    </row>
    <row r="211" spans="1:9" x14ac:dyDescent="0.25">
      <c r="A211" t="str">
        <f t="shared" ca="1" si="15"/>
        <v>.191</v>
      </c>
      <c r="F211">
        <f t="shared" ca="1" si="14"/>
        <v>0</v>
      </c>
      <c r="G211" t="str">
        <f t="shared" ca="1" si="16"/>
        <v>.191</v>
      </c>
      <c r="H211" t="str" cm="1">
        <f t="array" ref="H211">IF(ISERR(SEARCH(".pdf",C211,1)),"",FolderNumber(B211))</f>
        <v/>
      </c>
      <c r="I211">
        <f ca="1">IF(COUNTIF($H$2:H211,H211)&gt;99,COUNTIF($H$2:H211,H211), IF(COUNTIF($H$2:H211,H211)&lt;10,_xlfn.CONCAT("0",TEXT(COUNTIF($H$2:H211,H211),0)),_xlfn.CONCAT("",TEXT(COUNTIF($H$2:H211,H211),0))))</f>
        <v>191</v>
      </c>
    </row>
    <row r="212" spans="1:9" x14ac:dyDescent="0.25">
      <c r="A212" t="str">
        <f t="shared" ca="1" si="15"/>
        <v>.192</v>
      </c>
      <c r="F212">
        <f t="shared" ca="1" si="14"/>
        <v>0</v>
      </c>
      <c r="G212" t="str">
        <f t="shared" ca="1" si="16"/>
        <v>.192</v>
      </c>
      <c r="H212" t="str" cm="1">
        <f t="array" ref="H212">IF(ISERR(SEARCH(".pdf",C212,1)),"",FolderNumber(B212))</f>
        <v/>
      </c>
      <c r="I212">
        <f ca="1">IF(COUNTIF($H$2:H212,H212)&gt;99,COUNTIF($H$2:H212,H212), IF(COUNTIF($H$2:H212,H212)&lt;10,_xlfn.CONCAT("0",TEXT(COUNTIF($H$2:H212,H212),0)),_xlfn.CONCAT("",TEXT(COUNTIF($H$2:H212,H212),0))))</f>
        <v>192</v>
      </c>
    </row>
    <row r="213" spans="1:9" x14ac:dyDescent="0.25">
      <c r="A213" t="str">
        <f t="shared" ca="1" si="15"/>
        <v>.193</v>
      </c>
      <c r="F213">
        <f t="shared" ca="1" si="14"/>
        <v>0</v>
      </c>
      <c r="G213" t="str">
        <f t="shared" ca="1" si="16"/>
        <v>.193</v>
      </c>
      <c r="H213" t="str" cm="1">
        <f t="array" ref="H213">IF(ISERR(SEARCH(".pdf",C213,1)),"",FolderNumber(B213))</f>
        <v/>
      </c>
      <c r="I213">
        <f ca="1">IF(COUNTIF($H$2:H213,H213)&gt;99,COUNTIF($H$2:H213,H213), IF(COUNTIF($H$2:H213,H213)&lt;10,_xlfn.CONCAT("0",TEXT(COUNTIF($H$2:H213,H213),0)),_xlfn.CONCAT("",TEXT(COUNTIF($H$2:H213,H213),0))))</f>
        <v>193</v>
      </c>
    </row>
    <row r="214" spans="1:9" x14ac:dyDescent="0.25">
      <c r="A214" t="str">
        <f t="shared" ca="1" si="15"/>
        <v>.194</v>
      </c>
      <c r="F214">
        <f t="shared" ca="1" si="14"/>
        <v>0</v>
      </c>
      <c r="G214" t="str">
        <f t="shared" ca="1" si="16"/>
        <v>.194</v>
      </c>
      <c r="H214" t="str" cm="1">
        <f t="array" ref="H214">IF(ISERR(SEARCH(".pdf",C214,1)),"",FolderNumber(B214))</f>
        <v/>
      </c>
      <c r="I214">
        <f ca="1">IF(COUNTIF($H$2:H214,H214)&gt;99,COUNTIF($H$2:H214,H214), IF(COUNTIF($H$2:H214,H214)&lt;10,_xlfn.CONCAT("0",TEXT(COUNTIF($H$2:H214,H214),0)),_xlfn.CONCAT("",TEXT(COUNTIF($H$2:H214,H214),0))))</f>
        <v>194</v>
      </c>
    </row>
    <row r="215" spans="1:9" x14ac:dyDescent="0.25">
      <c r="A215" t="str">
        <f t="shared" ca="1" si="15"/>
        <v>.195</v>
      </c>
      <c r="F215">
        <f t="shared" ca="1" si="14"/>
        <v>0</v>
      </c>
      <c r="G215" t="str">
        <f t="shared" ca="1" si="16"/>
        <v>.195</v>
      </c>
      <c r="H215" t="str" cm="1">
        <f t="array" ref="H215">IF(ISERR(SEARCH(".pdf",C215,1)),"",FolderNumber(B215))</f>
        <v/>
      </c>
      <c r="I215">
        <f ca="1">IF(COUNTIF($H$2:H215,H215)&gt;99,COUNTIF($H$2:H215,H215), IF(COUNTIF($H$2:H215,H215)&lt;10,_xlfn.CONCAT("0",TEXT(COUNTIF($H$2:H215,H215),0)),_xlfn.CONCAT("",TEXT(COUNTIF($H$2:H215,H215),0))))</f>
        <v>195</v>
      </c>
    </row>
    <row r="216" spans="1:9" x14ac:dyDescent="0.25">
      <c r="A216" t="str">
        <f t="shared" ca="1" si="15"/>
        <v>.196</v>
      </c>
      <c r="F216">
        <f t="shared" ca="1" si="14"/>
        <v>0</v>
      </c>
      <c r="G216" t="str">
        <f t="shared" ca="1" si="16"/>
        <v>.196</v>
      </c>
      <c r="H216" t="str" cm="1">
        <f t="array" ref="H216">IF(ISERR(SEARCH(".pdf",C216,1)),"",FolderNumber(B216))</f>
        <v/>
      </c>
      <c r="I216">
        <f ca="1">IF(COUNTIF($H$2:H216,H216)&gt;99,COUNTIF($H$2:H216,H216), IF(COUNTIF($H$2:H216,H216)&lt;10,_xlfn.CONCAT("0",TEXT(COUNTIF($H$2:H216,H216),0)),_xlfn.CONCAT("",TEXT(COUNTIF($H$2:H216,H216),0))))</f>
        <v>196</v>
      </c>
    </row>
    <row r="217" spans="1:9" x14ac:dyDescent="0.25">
      <c r="A217" t="str">
        <f t="shared" ca="1" si="15"/>
        <v>.197</v>
      </c>
      <c r="F217">
        <f t="shared" ca="1" si="14"/>
        <v>0</v>
      </c>
      <c r="G217" t="str">
        <f t="shared" ca="1" si="16"/>
        <v>.197</v>
      </c>
      <c r="H217" t="str" cm="1">
        <f t="array" ref="H217">IF(ISERR(SEARCH(".pdf",C217,1)),"",FolderNumber(B217))</f>
        <v/>
      </c>
      <c r="I217">
        <f ca="1">IF(COUNTIF($H$2:H217,H217)&gt;99,COUNTIF($H$2:H217,H217), IF(COUNTIF($H$2:H217,H217)&lt;10,_xlfn.CONCAT("0",TEXT(COUNTIF($H$2:H217,H217),0)),_xlfn.CONCAT("",TEXT(COUNTIF($H$2:H217,H217),0))))</f>
        <v>197</v>
      </c>
    </row>
    <row r="218" spans="1:9" x14ac:dyDescent="0.25">
      <c r="A218" t="str">
        <f t="shared" ca="1" si="15"/>
        <v>.198</v>
      </c>
      <c r="F218">
        <f t="shared" ca="1" si="14"/>
        <v>0</v>
      </c>
      <c r="G218" t="str">
        <f t="shared" ca="1" si="16"/>
        <v>.198</v>
      </c>
      <c r="H218" t="str" cm="1">
        <f t="array" ref="H218">IF(ISERR(SEARCH(".pdf",C218,1)),"",FolderNumber(B218))</f>
        <v/>
      </c>
      <c r="I218">
        <f ca="1">IF(COUNTIF($H$2:H218,H218)&gt;99,COUNTIF($H$2:H218,H218), IF(COUNTIF($H$2:H218,H218)&lt;10,_xlfn.CONCAT("0",TEXT(COUNTIF($H$2:H218,H218),0)),_xlfn.CONCAT("",TEXT(COUNTIF($H$2:H218,H218),0))))</f>
        <v>198</v>
      </c>
    </row>
    <row r="219" spans="1:9" x14ac:dyDescent="0.25">
      <c r="A219" t="str">
        <f t="shared" ca="1" si="15"/>
        <v>.199</v>
      </c>
      <c r="F219">
        <f t="shared" ref="F219:F268" ca="1" si="17">IF(OR(ISERR(SEARCH(".pdf",C219,1)),ISBLANK(G219)),C219,_xlfn.CONCAT(A219," - ",C219))</f>
        <v>0</v>
      </c>
      <c r="G219" t="str">
        <f t="shared" ca="1" si="16"/>
        <v>.199</v>
      </c>
      <c r="H219" t="str" cm="1">
        <f t="array" ref="H219">IF(ISERR(SEARCH(".pdf",C219,1)),"",FolderNumber(B219))</f>
        <v/>
      </c>
      <c r="I219">
        <f ca="1">IF(COUNTIF($H$2:H219,H219)&gt;99,COUNTIF($H$2:H219,H219), IF(COUNTIF($H$2:H219,H219)&lt;10,_xlfn.CONCAT("0",TEXT(COUNTIF($H$2:H219,H219),0)),_xlfn.CONCAT("",TEXT(COUNTIF($H$2:H219,H219),0))))</f>
        <v>199</v>
      </c>
    </row>
    <row r="220" spans="1:9" x14ac:dyDescent="0.25">
      <c r="A220" t="str">
        <f t="shared" ca="1" si="15"/>
        <v>.200</v>
      </c>
      <c r="F220">
        <f t="shared" ca="1" si="17"/>
        <v>0</v>
      </c>
      <c r="G220" t="str">
        <f t="shared" ca="1" si="16"/>
        <v>.200</v>
      </c>
      <c r="H220" t="str" cm="1">
        <f t="array" ref="H220">IF(ISERR(SEARCH(".pdf",C220,1)),"",FolderNumber(B220))</f>
        <v/>
      </c>
      <c r="I220">
        <f ca="1">IF(COUNTIF($H$2:H220,H220)&gt;99,COUNTIF($H$2:H220,H220), IF(COUNTIF($H$2:H220,H220)&lt;10,_xlfn.CONCAT("0",TEXT(COUNTIF($H$2:H220,H220),0)),_xlfn.CONCAT("",TEXT(COUNTIF($H$2:H220,H220),0))))</f>
        <v>200</v>
      </c>
    </row>
    <row r="221" spans="1:9" x14ac:dyDescent="0.25">
      <c r="A221" t="str">
        <f t="shared" ca="1" si="15"/>
        <v>.201</v>
      </c>
      <c r="F221">
        <f t="shared" ca="1" si="17"/>
        <v>0</v>
      </c>
      <c r="G221" t="str">
        <f t="shared" ca="1" si="16"/>
        <v>.201</v>
      </c>
      <c r="H221" t="str" cm="1">
        <f t="array" ref="H221">IF(ISERR(SEARCH(".pdf",C221,1)),"",FolderNumber(B221))</f>
        <v/>
      </c>
      <c r="I221">
        <f ca="1">IF(COUNTIF($H$2:H221,H221)&gt;99,COUNTIF($H$2:H221,H221), IF(COUNTIF($H$2:H221,H221)&lt;10,_xlfn.CONCAT("0",TEXT(COUNTIF($H$2:H221,H221),0)),_xlfn.CONCAT("",TEXT(COUNTIF($H$2:H221,H221),0))))</f>
        <v>201</v>
      </c>
    </row>
    <row r="222" spans="1:9" x14ac:dyDescent="0.25">
      <c r="A222" t="str">
        <f t="shared" ca="1" si="15"/>
        <v>.202</v>
      </c>
      <c r="F222">
        <f t="shared" ca="1" si="17"/>
        <v>0</v>
      </c>
      <c r="G222" t="str">
        <f t="shared" ca="1" si="16"/>
        <v>.202</v>
      </c>
      <c r="H222" t="str" cm="1">
        <f t="array" ref="H222">IF(ISERR(SEARCH(".pdf",C222,1)),"",FolderNumber(B222))</f>
        <v/>
      </c>
      <c r="I222">
        <f ca="1">IF(COUNTIF($H$2:H222,H222)&gt;99,COUNTIF($H$2:H222,H222), IF(COUNTIF($H$2:H222,H222)&lt;10,_xlfn.CONCAT("0",TEXT(COUNTIF($H$2:H222,H222),0)),_xlfn.CONCAT("",TEXT(COUNTIF($H$2:H222,H222),0))))</f>
        <v>202</v>
      </c>
    </row>
    <row r="223" spans="1:9" x14ac:dyDescent="0.25">
      <c r="A223" t="str">
        <f t="shared" ca="1" si="15"/>
        <v>.203</v>
      </c>
      <c r="F223">
        <f t="shared" ca="1" si="17"/>
        <v>0</v>
      </c>
      <c r="G223" t="str">
        <f t="shared" ca="1" si="16"/>
        <v>.203</v>
      </c>
      <c r="H223" t="str" cm="1">
        <f t="array" ref="H223">IF(ISERR(SEARCH(".pdf",C223,1)),"",FolderNumber(B223))</f>
        <v/>
      </c>
      <c r="I223">
        <f ca="1">IF(COUNTIF($H$2:H223,H223)&gt;99,COUNTIF($H$2:H223,H223), IF(COUNTIF($H$2:H223,H223)&lt;10,_xlfn.CONCAT("0",TEXT(COUNTIF($H$2:H223,H223),0)),_xlfn.CONCAT("",TEXT(COUNTIF($H$2:H223,H223),0))))</f>
        <v>203</v>
      </c>
    </row>
    <row r="224" spans="1:9" x14ac:dyDescent="0.25">
      <c r="A224" t="str">
        <f t="shared" ca="1" si="15"/>
        <v>.204</v>
      </c>
      <c r="F224">
        <f t="shared" ca="1" si="17"/>
        <v>0</v>
      </c>
      <c r="G224" t="str">
        <f t="shared" ca="1" si="16"/>
        <v>.204</v>
      </c>
      <c r="H224" t="str" cm="1">
        <f t="array" ref="H224">IF(ISERR(SEARCH(".pdf",C224,1)),"",FolderNumber(B224))</f>
        <v/>
      </c>
      <c r="I224">
        <f ca="1">IF(COUNTIF($H$2:H224,H224)&gt;99,COUNTIF($H$2:H224,H224), IF(COUNTIF($H$2:H224,H224)&lt;10,_xlfn.CONCAT("0",TEXT(COUNTIF($H$2:H224,H224),0)),_xlfn.CONCAT("",TEXT(COUNTIF($H$2:H224,H224),0))))</f>
        <v>204</v>
      </c>
    </row>
    <row r="225" spans="1:9" x14ac:dyDescent="0.25">
      <c r="A225" t="str">
        <f t="shared" ca="1" si="15"/>
        <v>.205</v>
      </c>
      <c r="F225">
        <f t="shared" ca="1" si="17"/>
        <v>0</v>
      </c>
      <c r="G225" t="str">
        <f t="shared" ca="1" si="16"/>
        <v>.205</v>
      </c>
      <c r="H225" t="str" cm="1">
        <f t="array" ref="H225">IF(ISERR(SEARCH(".pdf",C225,1)),"",FolderNumber(B225))</f>
        <v/>
      </c>
      <c r="I225">
        <f ca="1">IF(COUNTIF($H$2:H225,H225)&gt;99,COUNTIF($H$2:H225,H225), IF(COUNTIF($H$2:H225,H225)&lt;10,_xlfn.CONCAT("0",TEXT(COUNTIF($H$2:H225,H225),0)),_xlfn.CONCAT("",TEXT(COUNTIF($H$2:H225,H225),0))))</f>
        <v>205</v>
      </c>
    </row>
    <row r="226" spans="1:9" x14ac:dyDescent="0.25">
      <c r="A226" t="str">
        <f t="shared" ca="1" si="15"/>
        <v>.206</v>
      </c>
      <c r="F226">
        <f t="shared" ca="1" si="17"/>
        <v>0</v>
      </c>
      <c r="G226" t="str">
        <f t="shared" ca="1" si="16"/>
        <v>.206</v>
      </c>
      <c r="H226" t="str" cm="1">
        <f t="array" ref="H226">IF(ISERR(SEARCH(".pdf",C226,1)),"",FolderNumber(B226))</f>
        <v/>
      </c>
      <c r="I226">
        <f ca="1">IF(COUNTIF($H$2:H226,H226)&gt;99,COUNTIF($H$2:H226,H226), IF(COUNTIF($H$2:H226,H226)&lt;10,_xlfn.CONCAT("0",TEXT(COUNTIF($H$2:H226,H226),0)),_xlfn.CONCAT("",TEXT(COUNTIF($H$2:H226,H226),0))))</f>
        <v>206</v>
      </c>
    </row>
    <row r="227" spans="1:9" x14ac:dyDescent="0.25">
      <c r="A227" t="str">
        <f t="shared" ca="1" si="15"/>
        <v>.207</v>
      </c>
      <c r="F227">
        <f t="shared" ca="1" si="17"/>
        <v>0</v>
      </c>
      <c r="G227" t="str">
        <f t="shared" ca="1" si="16"/>
        <v>.207</v>
      </c>
      <c r="H227" t="str" cm="1">
        <f t="array" ref="H227">IF(ISERR(SEARCH(".pdf",C227,1)),"",FolderNumber(B227))</f>
        <v/>
      </c>
      <c r="I227">
        <f ca="1">IF(COUNTIF($H$2:H227,H227)&gt;99,COUNTIF($H$2:H227,H227), IF(COUNTIF($H$2:H227,H227)&lt;10,_xlfn.CONCAT("0",TEXT(COUNTIF($H$2:H227,H227),0)),_xlfn.CONCAT("",TEXT(COUNTIF($H$2:H227,H227),0))))</f>
        <v>207</v>
      </c>
    </row>
    <row r="228" spans="1:9" x14ac:dyDescent="0.25">
      <c r="A228" t="str">
        <f t="shared" ca="1" si="15"/>
        <v>.208</v>
      </c>
      <c r="F228">
        <f t="shared" ca="1" si="17"/>
        <v>0</v>
      </c>
      <c r="G228" t="str">
        <f t="shared" ca="1" si="16"/>
        <v>.208</v>
      </c>
      <c r="H228" t="str" cm="1">
        <f t="array" ref="H228">IF(ISERR(SEARCH(".pdf",C228,1)),"",FolderNumber(B228))</f>
        <v/>
      </c>
      <c r="I228">
        <f ca="1">IF(COUNTIF($H$2:H228,H228)&gt;99,COUNTIF($H$2:H228,H228), IF(COUNTIF($H$2:H228,H228)&lt;10,_xlfn.CONCAT("0",TEXT(COUNTIF($H$2:H228,H228),0)),_xlfn.CONCAT("",TEXT(COUNTIF($H$2:H228,H228),0))))</f>
        <v>208</v>
      </c>
    </row>
    <row r="229" spans="1:9" x14ac:dyDescent="0.25">
      <c r="A229" t="str">
        <f t="shared" ca="1" si="15"/>
        <v>.209</v>
      </c>
      <c r="F229">
        <f t="shared" ca="1" si="17"/>
        <v>0</v>
      </c>
      <c r="G229" t="str">
        <f t="shared" ca="1" si="16"/>
        <v>.209</v>
      </c>
      <c r="H229" t="str" cm="1">
        <f t="array" ref="H229">IF(ISERR(SEARCH(".pdf",C229,1)),"",FolderNumber(B229))</f>
        <v/>
      </c>
      <c r="I229">
        <f ca="1">IF(COUNTIF($H$2:H229,H229)&gt;99,COUNTIF($H$2:H229,H229), IF(COUNTIF($H$2:H229,H229)&lt;10,_xlfn.CONCAT("0",TEXT(COUNTIF($H$2:H229,H229),0)),_xlfn.CONCAT("",TEXT(COUNTIF($H$2:H229,H229),0))))</f>
        <v>209</v>
      </c>
    </row>
    <row r="230" spans="1:9" x14ac:dyDescent="0.25">
      <c r="A230" t="str">
        <f t="shared" ca="1" si="15"/>
        <v>.210</v>
      </c>
      <c r="F230">
        <f t="shared" ca="1" si="17"/>
        <v>0</v>
      </c>
      <c r="G230" t="str">
        <f t="shared" ca="1" si="16"/>
        <v>.210</v>
      </c>
      <c r="H230" t="str" cm="1">
        <f t="array" ref="H230">IF(ISERR(SEARCH(".pdf",C230,1)),"",FolderNumber(B230))</f>
        <v/>
      </c>
      <c r="I230">
        <f ca="1">IF(COUNTIF($H$2:H230,H230)&gt;99,COUNTIF($H$2:H230,H230), IF(COUNTIF($H$2:H230,H230)&lt;10,_xlfn.CONCAT("0",TEXT(COUNTIF($H$2:H230,H230),0)),_xlfn.CONCAT("",TEXT(COUNTIF($H$2:H230,H230),0))))</f>
        <v>210</v>
      </c>
    </row>
    <row r="231" spans="1:9" x14ac:dyDescent="0.25">
      <c r="A231" t="str">
        <f t="shared" ca="1" si="15"/>
        <v>.211</v>
      </c>
      <c r="F231">
        <f t="shared" ca="1" si="17"/>
        <v>0</v>
      </c>
      <c r="G231" t="str">
        <f t="shared" ca="1" si="16"/>
        <v>.211</v>
      </c>
      <c r="H231" t="str" cm="1">
        <f t="array" ref="H231">IF(ISERR(SEARCH(".pdf",C231,1)),"",FolderNumber(B231))</f>
        <v/>
      </c>
      <c r="I231">
        <f ca="1">IF(COUNTIF($H$2:H231,H231)&gt;99,COUNTIF($H$2:H231,H231), IF(COUNTIF($H$2:H231,H231)&lt;10,_xlfn.CONCAT("0",TEXT(COUNTIF($H$2:H231,H231),0)),_xlfn.CONCAT("",TEXT(COUNTIF($H$2:H231,H231),0))))</f>
        <v>211</v>
      </c>
    </row>
    <row r="232" spans="1:9" x14ac:dyDescent="0.25">
      <c r="A232" t="str">
        <f t="shared" ca="1" si="15"/>
        <v>.212</v>
      </c>
      <c r="F232">
        <f t="shared" ca="1" si="17"/>
        <v>0</v>
      </c>
      <c r="G232" t="str">
        <f t="shared" ca="1" si="16"/>
        <v>.212</v>
      </c>
      <c r="H232" t="str" cm="1">
        <f t="array" ref="H232">IF(ISERR(SEARCH(".pdf",C232,1)),"",FolderNumber(B232))</f>
        <v/>
      </c>
      <c r="I232">
        <f ca="1">IF(COUNTIF($H$2:H232,H232)&gt;99,COUNTIF($H$2:H232,H232), IF(COUNTIF($H$2:H232,H232)&lt;10,_xlfn.CONCAT("0",TEXT(COUNTIF($H$2:H232,H232),0)),_xlfn.CONCAT("",TEXT(COUNTIF($H$2:H232,H232),0))))</f>
        <v>212</v>
      </c>
    </row>
    <row r="233" spans="1:9" x14ac:dyDescent="0.25">
      <c r="A233" t="str">
        <f t="shared" ca="1" si="15"/>
        <v>.213</v>
      </c>
      <c r="F233">
        <f t="shared" ca="1" si="17"/>
        <v>0</v>
      </c>
      <c r="G233" t="str">
        <f t="shared" ca="1" si="16"/>
        <v>.213</v>
      </c>
      <c r="H233" t="str" cm="1">
        <f t="array" ref="H233">IF(ISERR(SEARCH(".pdf",C233,1)),"",FolderNumber(B233))</f>
        <v/>
      </c>
      <c r="I233">
        <f ca="1">IF(COUNTIF($H$2:H233,H233)&gt;99,COUNTIF($H$2:H233,H233), IF(COUNTIF($H$2:H233,H233)&lt;10,_xlfn.CONCAT("0",TEXT(COUNTIF($H$2:H233,H233),0)),_xlfn.CONCAT("",TEXT(COUNTIF($H$2:H233,H233),0))))</f>
        <v>213</v>
      </c>
    </row>
    <row r="234" spans="1:9" x14ac:dyDescent="0.25">
      <c r="A234" t="str">
        <f t="shared" ca="1" si="15"/>
        <v>.214</v>
      </c>
      <c r="F234">
        <f t="shared" ca="1" si="17"/>
        <v>0</v>
      </c>
      <c r="G234" t="str">
        <f t="shared" ca="1" si="16"/>
        <v>.214</v>
      </c>
      <c r="H234" t="str" cm="1">
        <f t="array" ref="H234">IF(ISERR(SEARCH(".pdf",C234,1)),"",FolderNumber(B234))</f>
        <v/>
      </c>
      <c r="I234">
        <f ca="1">IF(COUNTIF($H$2:H234,H234)&gt;99,COUNTIF($H$2:H234,H234), IF(COUNTIF($H$2:H234,H234)&lt;10,_xlfn.CONCAT("0",TEXT(COUNTIF($H$2:H234,H234),0)),_xlfn.CONCAT("",TEXT(COUNTIF($H$2:H234,H234),0))))</f>
        <v>214</v>
      </c>
    </row>
    <row r="235" spans="1:9" x14ac:dyDescent="0.25">
      <c r="A235" t="str">
        <f t="shared" ca="1" si="15"/>
        <v>.215</v>
      </c>
      <c r="F235">
        <f t="shared" ca="1" si="17"/>
        <v>0</v>
      </c>
      <c r="G235" t="str">
        <f t="shared" ca="1" si="16"/>
        <v>.215</v>
      </c>
      <c r="H235" t="str" cm="1">
        <f t="array" ref="H235">IF(ISERR(SEARCH(".pdf",C235,1)),"",FolderNumber(B235))</f>
        <v/>
      </c>
      <c r="I235">
        <f ca="1">IF(COUNTIF($H$2:H235,H235)&gt;99,COUNTIF($H$2:H235,H235), IF(COUNTIF($H$2:H235,H235)&lt;10,_xlfn.CONCAT("0",TEXT(COUNTIF($H$2:H235,H235),0)),_xlfn.CONCAT("",TEXT(COUNTIF($H$2:H235,H235),0))))</f>
        <v>215</v>
      </c>
    </row>
    <row r="236" spans="1:9" x14ac:dyDescent="0.25">
      <c r="A236" t="str">
        <f t="shared" ca="1" si="15"/>
        <v>.216</v>
      </c>
      <c r="F236">
        <f t="shared" ca="1" si="17"/>
        <v>0</v>
      </c>
      <c r="G236" t="str">
        <f t="shared" ca="1" si="16"/>
        <v>.216</v>
      </c>
      <c r="H236" t="str" cm="1">
        <f t="array" ref="H236">IF(ISERR(SEARCH(".pdf",C236,1)),"",FolderNumber(B236))</f>
        <v/>
      </c>
      <c r="I236">
        <f ca="1">IF(COUNTIF($H$2:H236,H236)&gt;99,COUNTIF($H$2:H236,H236), IF(COUNTIF($H$2:H236,H236)&lt;10,_xlfn.CONCAT("0",TEXT(COUNTIF($H$2:H236,H236),0)),_xlfn.CONCAT("",TEXT(COUNTIF($H$2:H236,H236),0))))</f>
        <v>216</v>
      </c>
    </row>
    <row r="237" spans="1:9" x14ac:dyDescent="0.25">
      <c r="A237" t="str">
        <f t="shared" ca="1" si="15"/>
        <v>.217</v>
      </c>
      <c r="F237">
        <f t="shared" ca="1" si="17"/>
        <v>0</v>
      </c>
      <c r="G237" t="str">
        <f t="shared" ca="1" si="16"/>
        <v>.217</v>
      </c>
      <c r="H237" t="str" cm="1">
        <f t="array" ref="H237">IF(ISERR(SEARCH(".pdf",C237,1)),"",FolderNumber(B237))</f>
        <v/>
      </c>
      <c r="I237">
        <f ca="1">IF(COUNTIF($H$2:H237,H237)&gt;99,COUNTIF($H$2:H237,H237), IF(COUNTIF($H$2:H237,H237)&lt;10,_xlfn.CONCAT("0",TEXT(COUNTIF($H$2:H237,H237),0)),_xlfn.CONCAT("",TEXT(COUNTIF($H$2:H237,H237),0))))</f>
        <v>217</v>
      </c>
    </row>
    <row r="238" spans="1:9" x14ac:dyDescent="0.25">
      <c r="A238" t="str">
        <f t="shared" ca="1" si="15"/>
        <v>.218</v>
      </c>
      <c r="F238">
        <f t="shared" ca="1" si="17"/>
        <v>0</v>
      </c>
      <c r="G238" t="str">
        <f t="shared" ca="1" si="16"/>
        <v>.218</v>
      </c>
      <c r="H238" t="str" cm="1">
        <f t="array" ref="H238">IF(ISERR(SEARCH(".pdf",C238,1)),"",FolderNumber(B238))</f>
        <v/>
      </c>
      <c r="I238">
        <f ca="1">IF(COUNTIF($H$2:H238,H238)&gt;99,COUNTIF($H$2:H238,H238), IF(COUNTIF($H$2:H238,H238)&lt;10,_xlfn.CONCAT("0",TEXT(COUNTIF($H$2:H238,H238),0)),_xlfn.CONCAT("",TEXT(COUNTIF($H$2:H238,H238),0))))</f>
        <v>218</v>
      </c>
    </row>
    <row r="239" spans="1:9" x14ac:dyDescent="0.25">
      <c r="A239" t="str">
        <f t="shared" ca="1" si="15"/>
        <v>.219</v>
      </c>
      <c r="F239">
        <f t="shared" ca="1" si="17"/>
        <v>0</v>
      </c>
      <c r="G239" t="str">
        <f t="shared" ca="1" si="16"/>
        <v>.219</v>
      </c>
      <c r="H239" t="str" cm="1">
        <f t="array" ref="H239">IF(ISERR(SEARCH(".pdf",C239,1)),"",FolderNumber(B239))</f>
        <v/>
      </c>
      <c r="I239">
        <f ca="1">IF(COUNTIF($H$2:H239,H239)&gt;99,COUNTIF($H$2:H239,H239), IF(COUNTIF($H$2:H239,H239)&lt;10,_xlfn.CONCAT("0",TEXT(COUNTIF($H$2:H239,H239),0)),_xlfn.CONCAT("",TEXT(COUNTIF($H$2:H239,H239),0))))</f>
        <v>219</v>
      </c>
    </row>
    <row r="240" spans="1:9" x14ac:dyDescent="0.25">
      <c r="A240" t="str">
        <f t="shared" ca="1" si="15"/>
        <v>.220</v>
      </c>
      <c r="F240">
        <f t="shared" ca="1" si="17"/>
        <v>0</v>
      </c>
      <c r="G240" t="str">
        <f t="shared" ca="1" si="16"/>
        <v>.220</v>
      </c>
      <c r="H240" t="str" cm="1">
        <f t="array" ref="H240">IF(ISERR(SEARCH(".pdf",C240,1)),"",FolderNumber(B240))</f>
        <v/>
      </c>
      <c r="I240">
        <f ca="1">IF(COUNTIF($H$2:H240,H240)&gt;99,COUNTIF($H$2:H240,H240), IF(COUNTIF($H$2:H240,H240)&lt;10,_xlfn.CONCAT("0",TEXT(COUNTIF($H$2:H240,H240),0)),_xlfn.CONCAT("",TEXT(COUNTIF($H$2:H240,H240),0))))</f>
        <v>220</v>
      </c>
    </row>
    <row r="241" spans="1:9" x14ac:dyDescent="0.25">
      <c r="A241" t="str">
        <f t="shared" ca="1" si="15"/>
        <v>.221</v>
      </c>
      <c r="F241">
        <f t="shared" ca="1" si="17"/>
        <v>0</v>
      </c>
      <c r="G241" t="str">
        <f t="shared" ca="1" si="16"/>
        <v>.221</v>
      </c>
      <c r="H241" t="str" cm="1">
        <f t="array" ref="H241">IF(ISERR(SEARCH(".pdf",C241,1)),"",FolderNumber(B241))</f>
        <v/>
      </c>
      <c r="I241">
        <f ca="1">IF(COUNTIF($H$2:H241,H241)&gt;99,COUNTIF($H$2:H241,H241), IF(COUNTIF($H$2:H241,H241)&lt;10,_xlfn.CONCAT("0",TEXT(COUNTIF($H$2:H241,H241),0)),_xlfn.CONCAT("",TEXT(COUNTIF($H$2:H241,H241),0))))</f>
        <v>221</v>
      </c>
    </row>
    <row r="242" spans="1:9" x14ac:dyDescent="0.25">
      <c r="A242" t="str">
        <f t="shared" ca="1" si="15"/>
        <v>.222</v>
      </c>
      <c r="F242">
        <f t="shared" ca="1" si="17"/>
        <v>0</v>
      </c>
      <c r="G242" t="str">
        <f t="shared" ca="1" si="16"/>
        <v>.222</v>
      </c>
      <c r="H242" t="str" cm="1">
        <f t="array" ref="H242">IF(ISERR(SEARCH(".pdf",C242,1)),"",FolderNumber(B242))</f>
        <v/>
      </c>
      <c r="I242">
        <f ca="1">IF(COUNTIF($H$2:H242,H242)&gt;99,COUNTIF($H$2:H242,H242), IF(COUNTIF($H$2:H242,H242)&lt;10,_xlfn.CONCAT("0",TEXT(COUNTIF($H$2:H242,H242),0)),_xlfn.CONCAT("",TEXT(COUNTIF($H$2:H242,H242),0))))</f>
        <v>222</v>
      </c>
    </row>
    <row r="243" spans="1:9" x14ac:dyDescent="0.25">
      <c r="A243" t="str">
        <f t="shared" ca="1" si="15"/>
        <v>.223</v>
      </c>
      <c r="F243">
        <f t="shared" ca="1" si="17"/>
        <v>0</v>
      </c>
      <c r="G243" t="str">
        <f t="shared" ca="1" si="16"/>
        <v>.223</v>
      </c>
      <c r="H243" t="str" cm="1">
        <f t="array" ref="H243">IF(ISERR(SEARCH(".pdf",C243,1)),"",FolderNumber(B243))</f>
        <v/>
      </c>
      <c r="I243">
        <f ca="1">IF(COUNTIF($H$2:H243,H243)&gt;99,COUNTIF($H$2:H243,H243), IF(COUNTIF($H$2:H243,H243)&lt;10,_xlfn.CONCAT("0",TEXT(COUNTIF($H$2:H243,H243),0)),_xlfn.CONCAT("",TEXT(COUNTIF($H$2:H243,H243),0))))</f>
        <v>223</v>
      </c>
    </row>
    <row r="244" spans="1:9" x14ac:dyDescent="0.25">
      <c r="A244" t="str">
        <f t="shared" ca="1" si="15"/>
        <v>.224</v>
      </c>
      <c r="F244">
        <f t="shared" ca="1" si="17"/>
        <v>0</v>
      </c>
      <c r="G244" t="str">
        <f t="shared" ca="1" si="16"/>
        <v>.224</v>
      </c>
      <c r="H244" t="str" cm="1">
        <f t="array" ref="H244">IF(ISERR(SEARCH(".pdf",C244,1)),"",FolderNumber(B244))</f>
        <v/>
      </c>
      <c r="I244">
        <f ca="1">IF(COUNTIF($H$2:H244,H244)&gt;99,COUNTIF($H$2:H244,H244), IF(COUNTIF($H$2:H244,H244)&lt;10,_xlfn.CONCAT("0",TEXT(COUNTIF($H$2:H244,H244),0)),_xlfn.CONCAT("",TEXT(COUNTIF($H$2:H244,H244),0))))</f>
        <v>224</v>
      </c>
    </row>
    <row r="245" spans="1:9" x14ac:dyDescent="0.25">
      <c r="A245" t="str">
        <f t="shared" ca="1" si="15"/>
        <v>.225</v>
      </c>
      <c r="F245">
        <f t="shared" ca="1" si="17"/>
        <v>0</v>
      </c>
      <c r="G245" t="str">
        <f t="shared" ca="1" si="16"/>
        <v>.225</v>
      </c>
      <c r="H245" t="str" cm="1">
        <f t="array" ref="H245">IF(ISERR(SEARCH(".pdf",C245,1)),"",FolderNumber(B245))</f>
        <v/>
      </c>
      <c r="I245">
        <f ca="1">IF(COUNTIF($H$2:H245,H245)&gt;99,COUNTIF($H$2:H245,H245), IF(COUNTIF($H$2:H245,H245)&lt;10,_xlfn.CONCAT("0",TEXT(COUNTIF($H$2:H245,H245),0)),_xlfn.CONCAT("",TEXT(COUNTIF($H$2:H245,H245),0))))</f>
        <v>225</v>
      </c>
    </row>
    <row r="246" spans="1:9" x14ac:dyDescent="0.25">
      <c r="A246" t="str">
        <f t="shared" ca="1" si="15"/>
        <v>.226</v>
      </c>
      <c r="F246">
        <f t="shared" ca="1" si="17"/>
        <v>0</v>
      </c>
      <c r="G246" t="str">
        <f t="shared" ca="1" si="16"/>
        <v>.226</v>
      </c>
      <c r="H246" t="str" cm="1">
        <f t="array" ref="H246">IF(ISERR(SEARCH(".pdf",C246,1)),"",FolderNumber(B246))</f>
        <v/>
      </c>
      <c r="I246">
        <f ca="1">IF(COUNTIF($H$2:H246,H246)&gt;99,COUNTIF($H$2:H246,H246), IF(COUNTIF($H$2:H246,H246)&lt;10,_xlfn.CONCAT("0",TEXT(COUNTIF($H$2:H246,H246),0)),_xlfn.CONCAT("",TEXT(COUNTIF($H$2:H246,H246),0))))</f>
        <v>226</v>
      </c>
    </row>
    <row r="247" spans="1:9" x14ac:dyDescent="0.25">
      <c r="A247" t="str">
        <f t="shared" ca="1" si="15"/>
        <v>.227</v>
      </c>
      <c r="F247">
        <f t="shared" ca="1" si="17"/>
        <v>0</v>
      </c>
      <c r="G247" t="str">
        <f t="shared" ca="1" si="16"/>
        <v>.227</v>
      </c>
      <c r="H247" t="str" cm="1">
        <f t="array" ref="H247">IF(ISERR(SEARCH(".pdf",C247,1)),"",FolderNumber(B247))</f>
        <v/>
      </c>
      <c r="I247">
        <f ca="1">IF(COUNTIF($H$2:H247,H247)&gt;99,COUNTIF($H$2:H247,H247), IF(COUNTIF($H$2:H247,H247)&lt;10,_xlfn.CONCAT("0",TEXT(COUNTIF($H$2:H247,H247),0)),_xlfn.CONCAT("",TEXT(COUNTIF($H$2:H247,H247),0))))</f>
        <v>227</v>
      </c>
    </row>
    <row r="248" spans="1:9" x14ac:dyDescent="0.25">
      <c r="A248" t="str">
        <f t="shared" ca="1" si="15"/>
        <v>.228</v>
      </c>
      <c r="F248">
        <f t="shared" ca="1" si="17"/>
        <v>0</v>
      </c>
      <c r="G248" t="str">
        <f t="shared" ca="1" si="16"/>
        <v>.228</v>
      </c>
      <c r="H248" t="str" cm="1">
        <f t="array" ref="H248">IF(ISERR(SEARCH(".pdf",C248,1)),"",FolderNumber(B248))</f>
        <v/>
      </c>
      <c r="I248">
        <f ca="1">IF(COUNTIF($H$2:H248,H248)&gt;99,COUNTIF($H$2:H248,H248), IF(COUNTIF($H$2:H248,H248)&lt;10,_xlfn.CONCAT("0",TEXT(COUNTIF($H$2:H248,H248),0)),_xlfn.CONCAT("",TEXT(COUNTIF($H$2:H248,H248),0))))</f>
        <v>228</v>
      </c>
    </row>
    <row r="249" spans="1:9" x14ac:dyDescent="0.25">
      <c r="A249" t="str">
        <f t="shared" ca="1" si="15"/>
        <v>.229</v>
      </c>
      <c r="F249">
        <f t="shared" ca="1" si="17"/>
        <v>0</v>
      </c>
      <c r="G249" t="str">
        <f t="shared" ca="1" si="16"/>
        <v>.229</v>
      </c>
      <c r="H249" t="str" cm="1">
        <f t="array" ref="H249">IF(ISERR(SEARCH(".pdf",C249,1)),"",FolderNumber(B249))</f>
        <v/>
      </c>
      <c r="I249">
        <f ca="1">IF(COUNTIF($H$2:H249,H249)&gt;99,COUNTIF($H$2:H249,H249), IF(COUNTIF($H$2:H249,H249)&lt;10,_xlfn.CONCAT("0",TEXT(COUNTIF($H$2:H249,H249),0)),_xlfn.CONCAT("",TEXT(COUNTIF($H$2:H249,H249),0))))</f>
        <v>229</v>
      </c>
    </row>
    <row r="250" spans="1:9" x14ac:dyDescent="0.25">
      <c r="A250" t="str">
        <f t="shared" ca="1" si="15"/>
        <v>.230</v>
      </c>
      <c r="F250">
        <f t="shared" ca="1" si="17"/>
        <v>0</v>
      </c>
      <c r="G250" t="str">
        <f t="shared" ca="1" si="16"/>
        <v>.230</v>
      </c>
      <c r="H250" t="str" cm="1">
        <f t="array" ref="H250">IF(ISERR(SEARCH(".pdf",C250,1)),"",FolderNumber(B250))</f>
        <v/>
      </c>
      <c r="I250">
        <f ca="1">IF(COUNTIF($H$2:H250,H250)&gt;99,COUNTIF($H$2:H250,H250), IF(COUNTIF($H$2:H250,H250)&lt;10,_xlfn.CONCAT("0",TEXT(COUNTIF($H$2:H250,H250),0)),_xlfn.CONCAT("",TEXT(COUNTIF($H$2:H250,H250),0))))</f>
        <v>230</v>
      </c>
    </row>
    <row r="251" spans="1:9" x14ac:dyDescent="0.25">
      <c r="A251" t="str">
        <f t="shared" ca="1" si="15"/>
        <v>.231</v>
      </c>
      <c r="F251">
        <f t="shared" ca="1" si="17"/>
        <v>0</v>
      </c>
      <c r="G251" t="str">
        <f t="shared" ca="1" si="16"/>
        <v>.231</v>
      </c>
      <c r="H251" t="str" cm="1">
        <f t="array" ref="H251">IF(ISERR(SEARCH(".pdf",C251,1)),"",FolderNumber(B251))</f>
        <v/>
      </c>
      <c r="I251">
        <f ca="1">IF(COUNTIF($H$2:H251,H251)&gt;99,COUNTIF($H$2:H251,H251), IF(COUNTIF($H$2:H251,H251)&lt;10,_xlfn.CONCAT("0",TEXT(COUNTIF($H$2:H251,H251),0)),_xlfn.CONCAT("",TEXT(COUNTIF($H$2:H251,H251),0))))</f>
        <v>231</v>
      </c>
    </row>
    <row r="252" spans="1:9" x14ac:dyDescent="0.25">
      <c r="A252" t="str">
        <f t="shared" ca="1" si="15"/>
        <v>.232</v>
      </c>
      <c r="F252">
        <f t="shared" ca="1" si="17"/>
        <v>0</v>
      </c>
      <c r="G252" t="str">
        <f t="shared" ca="1" si="16"/>
        <v>.232</v>
      </c>
      <c r="H252" t="str" cm="1">
        <f t="array" ref="H252">IF(ISERR(SEARCH(".pdf",C252,1)),"",FolderNumber(B252))</f>
        <v/>
      </c>
      <c r="I252">
        <f ca="1">IF(COUNTIF($H$2:H252,H252)&gt;99,COUNTIF($H$2:H252,H252), IF(COUNTIF($H$2:H252,H252)&lt;10,_xlfn.CONCAT("0",TEXT(COUNTIF($H$2:H252,H252),0)),_xlfn.CONCAT("",TEXT(COUNTIF($H$2:H252,H252),0))))</f>
        <v>232</v>
      </c>
    </row>
    <row r="253" spans="1:9" x14ac:dyDescent="0.25">
      <c r="A253" t="str">
        <f t="shared" ca="1" si="15"/>
        <v>.233</v>
      </c>
      <c r="F253">
        <f t="shared" ca="1" si="17"/>
        <v>0</v>
      </c>
      <c r="G253" t="str">
        <f t="shared" ca="1" si="16"/>
        <v>.233</v>
      </c>
      <c r="H253" t="str" cm="1">
        <f t="array" ref="H253">IF(ISERR(SEARCH(".pdf",C253,1)),"",FolderNumber(B253))</f>
        <v/>
      </c>
      <c r="I253">
        <f ca="1">IF(COUNTIF($H$2:H253,H253)&gt;99,COUNTIF($H$2:H253,H253), IF(COUNTIF($H$2:H253,H253)&lt;10,_xlfn.CONCAT("0",TEXT(COUNTIF($H$2:H253,H253),0)),_xlfn.CONCAT("",TEXT(COUNTIF($H$2:H253,H253),0))))</f>
        <v>233</v>
      </c>
    </row>
    <row r="254" spans="1:9" x14ac:dyDescent="0.25">
      <c r="A254" t="str">
        <f t="shared" ca="1" si="15"/>
        <v>.234</v>
      </c>
      <c r="F254">
        <f t="shared" ca="1" si="17"/>
        <v>0</v>
      </c>
      <c r="G254" t="str">
        <f t="shared" ca="1" si="16"/>
        <v>.234</v>
      </c>
      <c r="H254" t="str" cm="1">
        <f t="array" ref="H254">IF(ISERR(SEARCH(".pdf",C254,1)),"",FolderNumber(B254))</f>
        <v/>
      </c>
      <c r="I254">
        <f ca="1">IF(COUNTIF($H$2:H254,H254)&gt;99,COUNTIF($H$2:H254,H254), IF(COUNTIF($H$2:H254,H254)&lt;10,_xlfn.CONCAT("0",TEXT(COUNTIF($H$2:H254,H254),0)),_xlfn.CONCAT("",TEXT(COUNTIF($H$2:H254,H254),0))))</f>
        <v>234</v>
      </c>
    </row>
    <row r="255" spans="1:9" x14ac:dyDescent="0.25">
      <c r="A255" t="str">
        <f t="shared" ca="1" si="15"/>
        <v>.235</v>
      </c>
      <c r="F255">
        <f t="shared" ca="1" si="17"/>
        <v>0</v>
      </c>
      <c r="G255" t="str">
        <f t="shared" ca="1" si="16"/>
        <v>.235</v>
      </c>
      <c r="H255" t="str" cm="1">
        <f t="array" ref="H255">IF(ISERR(SEARCH(".pdf",C255,1)),"",FolderNumber(B255))</f>
        <v/>
      </c>
      <c r="I255">
        <f ca="1">IF(COUNTIF($H$2:H255,H255)&gt;99,COUNTIF($H$2:H255,H255), IF(COUNTIF($H$2:H255,H255)&lt;10,_xlfn.CONCAT("0",TEXT(COUNTIF($H$2:H255,H255),0)),_xlfn.CONCAT("",TEXT(COUNTIF($H$2:H255,H255),0))))</f>
        <v>235</v>
      </c>
    </row>
    <row r="256" spans="1:9" x14ac:dyDescent="0.25">
      <c r="A256" t="str">
        <f t="shared" ref="A256:A268" ca="1" si="18">G256</f>
        <v>.236</v>
      </c>
      <c r="F256">
        <f t="shared" ca="1" si="17"/>
        <v>0</v>
      </c>
      <c r="G256" t="str">
        <f t="shared" ref="G256:G268" ca="1" si="19">_xlfn.CONCAT(H256,".",I256)</f>
        <v>.236</v>
      </c>
      <c r="H256" t="str" cm="1">
        <f t="array" ref="H256">IF(ISERR(SEARCH(".pdf",C256,1)),"",FolderNumber(B256))</f>
        <v/>
      </c>
      <c r="I256">
        <f ca="1">IF(COUNTIF($H$2:H256,H256)&gt;99,COUNTIF($H$2:H256,H256), IF(COUNTIF($H$2:H256,H256)&lt;10,_xlfn.CONCAT("0",TEXT(COUNTIF($H$2:H256,H256),0)),_xlfn.CONCAT("",TEXT(COUNTIF($H$2:H256,H256),0))))</f>
        <v>236</v>
      </c>
    </row>
    <row r="257" spans="1:9" x14ac:dyDescent="0.25">
      <c r="A257" t="str">
        <f t="shared" ca="1" si="18"/>
        <v>.237</v>
      </c>
      <c r="F257">
        <f t="shared" ca="1" si="17"/>
        <v>0</v>
      </c>
      <c r="G257" t="str">
        <f t="shared" ca="1" si="19"/>
        <v>.237</v>
      </c>
      <c r="H257" t="str" cm="1">
        <f t="array" ref="H257">IF(ISERR(SEARCH(".pdf",C257,1)),"",FolderNumber(B257))</f>
        <v/>
      </c>
      <c r="I257">
        <f ca="1">IF(COUNTIF($H$2:H257,H257)&gt;99,COUNTIF($H$2:H257,H257), IF(COUNTIF($H$2:H257,H257)&lt;10,_xlfn.CONCAT("0",TEXT(COUNTIF($H$2:H257,H257),0)),_xlfn.CONCAT("",TEXT(COUNTIF($H$2:H257,H257),0))))</f>
        <v>237</v>
      </c>
    </row>
    <row r="258" spans="1:9" x14ac:dyDescent="0.25">
      <c r="A258" t="str">
        <f t="shared" ca="1" si="18"/>
        <v>.238</v>
      </c>
      <c r="F258">
        <f t="shared" ca="1" si="17"/>
        <v>0</v>
      </c>
      <c r="G258" t="str">
        <f t="shared" ca="1" si="19"/>
        <v>.238</v>
      </c>
      <c r="H258" t="str" cm="1">
        <f t="array" ref="H258">IF(ISERR(SEARCH(".pdf",C258,1)),"",FolderNumber(B258))</f>
        <v/>
      </c>
      <c r="I258">
        <f ca="1">IF(COUNTIF($H$2:H258,H258)&gt;99,COUNTIF($H$2:H258,H258), IF(COUNTIF($H$2:H258,H258)&lt;10,_xlfn.CONCAT("0",TEXT(COUNTIF($H$2:H258,H258),0)),_xlfn.CONCAT("",TEXT(COUNTIF($H$2:H258,H258),0))))</f>
        <v>238</v>
      </c>
    </row>
    <row r="259" spans="1:9" x14ac:dyDescent="0.25">
      <c r="A259" t="str">
        <f t="shared" ca="1" si="18"/>
        <v>.239</v>
      </c>
      <c r="F259">
        <f t="shared" ca="1" si="17"/>
        <v>0</v>
      </c>
      <c r="G259" t="str">
        <f t="shared" ca="1" si="19"/>
        <v>.239</v>
      </c>
      <c r="H259" t="str" cm="1">
        <f t="array" ref="H259">IF(ISERR(SEARCH(".pdf",C259,1)),"",FolderNumber(B259))</f>
        <v/>
      </c>
      <c r="I259">
        <f ca="1">IF(COUNTIF($H$2:H259,H259)&gt;99,COUNTIF($H$2:H259,H259), IF(COUNTIF($H$2:H259,H259)&lt;10,_xlfn.CONCAT("0",TEXT(COUNTIF($H$2:H259,H259),0)),_xlfn.CONCAT("",TEXT(COUNTIF($H$2:H259,H259),0))))</f>
        <v>239</v>
      </c>
    </row>
    <row r="260" spans="1:9" x14ac:dyDescent="0.25">
      <c r="A260" t="str">
        <f t="shared" ca="1" si="18"/>
        <v>.240</v>
      </c>
      <c r="F260">
        <f t="shared" ca="1" si="17"/>
        <v>0</v>
      </c>
      <c r="G260" t="str">
        <f t="shared" ca="1" si="19"/>
        <v>.240</v>
      </c>
      <c r="H260" t="str" cm="1">
        <f t="array" ref="H260">IF(ISERR(SEARCH(".pdf",C260,1)),"",FolderNumber(B260))</f>
        <v/>
      </c>
      <c r="I260">
        <f ca="1">IF(COUNTIF($H$2:H260,H260)&gt;99,COUNTIF($H$2:H260,H260), IF(COUNTIF($H$2:H260,H260)&lt;10,_xlfn.CONCAT("0",TEXT(COUNTIF($H$2:H260,H260),0)),_xlfn.CONCAT("",TEXT(COUNTIF($H$2:H260,H260),0))))</f>
        <v>240</v>
      </c>
    </row>
    <row r="261" spans="1:9" x14ac:dyDescent="0.25">
      <c r="A261" t="str">
        <f t="shared" ca="1" si="18"/>
        <v>.241</v>
      </c>
      <c r="F261">
        <f t="shared" ca="1" si="17"/>
        <v>0</v>
      </c>
      <c r="G261" t="str">
        <f t="shared" ca="1" si="19"/>
        <v>.241</v>
      </c>
      <c r="H261" t="str" cm="1">
        <f t="array" ref="H261">IF(ISERR(SEARCH(".pdf",C261,1)),"",FolderNumber(B261))</f>
        <v/>
      </c>
      <c r="I261">
        <f ca="1">IF(COUNTIF($H$2:H261,H261)&gt;99,COUNTIF($H$2:H261,H261), IF(COUNTIF($H$2:H261,H261)&lt;10,_xlfn.CONCAT("0",TEXT(COUNTIF($H$2:H261,H261),0)),_xlfn.CONCAT("",TEXT(COUNTIF($H$2:H261,H261),0))))</f>
        <v>241</v>
      </c>
    </row>
    <row r="262" spans="1:9" x14ac:dyDescent="0.25">
      <c r="A262" t="str">
        <f t="shared" ca="1" si="18"/>
        <v>.242</v>
      </c>
      <c r="F262">
        <f t="shared" ca="1" si="17"/>
        <v>0</v>
      </c>
      <c r="G262" t="str">
        <f t="shared" ca="1" si="19"/>
        <v>.242</v>
      </c>
      <c r="H262" t="str" cm="1">
        <f t="array" ref="H262">IF(ISERR(SEARCH(".pdf",C262,1)),"",FolderNumber(B262))</f>
        <v/>
      </c>
      <c r="I262">
        <f ca="1">IF(COUNTIF($H$2:H262,H262)&gt;99,COUNTIF($H$2:H262,H262), IF(COUNTIF($H$2:H262,H262)&lt;10,_xlfn.CONCAT("0",TEXT(COUNTIF($H$2:H262,H262),0)),_xlfn.CONCAT("",TEXT(COUNTIF($H$2:H262,H262),0))))</f>
        <v>242</v>
      </c>
    </row>
    <row r="263" spans="1:9" x14ac:dyDescent="0.25">
      <c r="A263" t="str">
        <f t="shared" ca="1" si="18"/>
        <v>.243</v>
      </c>
      <c r="F263">
        <f t="shared" ca="1" si="17"/>
        <v>0</v>
      </c>
      <c r="G263" t="str">
        <f t="shared" ca="1" si="19"/>
        <v>.243</v>
      </c>
      <c r="H263" t="str" cm="1">
        <f t="array" ref="H263">IF(ISERR(SEARCH(".pdf",C263,1)),"",FolderNumber(B263))</f>
        <v/>
      </c>
      <c r="I263">
        <f ca="1">IF(COUNTIF($H$2:H263,H263)&gt;99,COUNTIF($H$2:H263,H263), IF(COUNTIF($H$2:H263,H263)&lt;10,_xlfn.CONCAT("0",TEXT(COUNTIF($H$2:H263,H263),0)),_xlfn.CONCAT("",TEXT(COUNTIF($H$2:H263,H263),0))))</f>
        <v>243</v>
      </c>
    </row>
    <row r="264" spans="1:9" x14ac:dyDescent="0.25">
      <c r="A264" t="str">
        <f t="shared" ca="1" si="18"/>
        <v>.244</v>
      </c>
      <c r="F264">
        <f t="shared" ca="1" si="17"/>
        <v>0</v>
      </c>
      <c r="G264" t="str">
        <f t="shared" ca="1" si="19"/>
        <v>.244</v>
      </c>
      <c r="H264" t="str" cm="1">
        <f t="array" ref="H264">IF(ISERR(SEARCH(".pdf",C264,1)),"",FolderNumber(B264))</f>
        <v/>
      </c>
      <c r="I264">
        <f ca="1">IF(COUNTIF($H$2:H264,H264)&gt;99,COUNTIF($H$2:H264,H264), IF(COUNTIF($H$2:H264,H264)&lt;10,_xlfn.CONCAT("0",TEXT(COUNTIF($H$2:H264,H264),0)),_xlfn.CONCAT("",TEXT(COUNTIF($H$2:H264,H264),0))))</f>
        <v>244</v>
      </c>
    </row>
    <row r="265" spans="1:9" x14ac:dyDescent="0.25">
      <c r="A265" t="str">
        <f t="shared" ca="1" si="18"/>
        <v>.245</v>
      </c>
      <c r="F265">
        <f t="shared" ca="1" si="17"/>
        <v>0</v>
      </c>
      <c r="G265" t="str">
        <f t="shared" ca="1" si="19"/>
        <v>.245</v>
      </c>
      <c r="H265" t="str" cm="1">
        <f t="array" ref="H265">IF(ISERR(SEARCH(".pdf",C265,1)),"",FolderNumber(B265))</f>
        <v/>
      </c>
      <c r="I265">
        <f ca="1">IF(COUNTIF($H$2:H265,H265)&gt;99,COUNTIF($H$2:H265,H265), IF(COUNTIF($H$2:H265,H265)&lt;10,_xlfn.CONCAT("0",TEXT(COUNTIF($H$2:H265,H265),0)),_xlfn.CONCAT("",TEXT(COUNTIF($H$2:H265,H265),0))))</f>
        <v>245</v>
      </c>
    </row>
    <row r="266" spans="1:9" x14ac:dyDescent="0.25">
      <c r="A266" t="str">
        <f t="shared" ca="1" si="18"/>
        <v>.246</v>
      </c>
      <c r="F266">
        <f t="shared" ca="1" si="17"/>
        <v>0</v>
      </c>
      <c r="G266" t="str">
        <f t="shared" ca="1" si="19"/>
        <v>.246</v>
      </c>
      <c r="H266" t="str" cm="1">
        <f t="array" ref="H266">IF(ISERR(SEARCH(".pdf",C266,1)),"",FolderNumber(B266))</f>
        <v/>
      </c>
      <c r="I266">
        <f ca="1">IF(COUNTIF($H$2:H266,H266)&gt;99,COUNTIF($H$2:H266,H266), IF(COUNTIF($H$2:H266,H266)&lt;10,_xlfn.CONCAT("0",TEXT(COUNTIF($H$2:H266,H266),0)),_xlfn.CONCAT("",TEXT(COUNTIF($H$2:H266,H266),0))))</f>
        <v>246</v>
      </c>
    </row>
    <row r="267" spans="1:9" x14ac:dyDescent="0.25">
      <c r="A267" t="str">
        <f t="shared" ca="1" si="18"/>
        <v>.247</v>
      </c>
      <c r="F267">
        <f t="shared" ca="1" si="17"/>
        <v>0</v>
      </c>
      <c r="G267" t="str">
        <f t="shared" ca="1" si="19"/>
        <v>.247</v>
      </c>
      <c r="H267" t="str" cm="1">
        <f t="array" ref="H267">IF(ISERR(SEARCH(".pdf",C267,1)),"",FolderNumber(B267))</f>
        <v/>
      </c>
      <c r="I267">
        <f ca="1">IF(COUNTIF($H$2:H267,H267)&gt;99,COUNTIF($H$2:H267,H267), IF(COUNTIF($H$2:H267,H267)&lt;10,_xlfn.CONCAT("0",TEXT(COUNTIF($H$2:H267,H267),0)),_xlfn.CONCAT("",TEXT(COUNTIF($H$2:H267,H267),0))))</f>
        <v>247</v>
      </c>
    </row>
    <row r="268" spans="1:9" x14ac:dyDescent="0.25">
      <c r="A268" t="str">
        <f t="shared" ca="1" si="18"/>
        <v>.248</v>
      </c>
      <c r="F268">
        <f t="shared" ca="1" si="17"/>
        <v>0</v>
      </c>
      <c r="G268" t="str">
        <f t="shared" ca="1" si="19"/>
        <v>.248</v>
      </c>
      <c r="H268" t="str" cm="1">
        <f t="array" ref="H268">IF(ISERR(SEARCH(".pdf",C268,1)),"",FolderNumber(B268))</f>
        <v/>
      </c>
      <c r="I268">
        <f ca="1">IF(COUNTIF($H$2:H268,H268)&gt;99,COUNTIF($H$2:H268,H268), IF(COUNTIF($H$2:H268,H268)&lt;10,_xlfn.CONCAT("0",TEXT(COUNTIF($H$2:H268,H268),0)),_xlfn.CONCAT("",TEXT(COUNTIF($H$2:H268,H268),0))))</f>
        <v>248</v>
      </c>
    </row>
  </sheetData>
  <autoFilter ref="A1:O268" xr:uid="{3C1B3168-DD46-46A2-A040-7E8669B6A481}"/>
  <sortState xmlns:xlrd2="http://schemas.microsoft.com/office/spreadsheetml/2017/richdata2" ref="A2:O157">
    <sortCondition ref="M2:M157"/>
    <sortCondition ref="O2:O157"/>
  </sortState>
  <phoneticPr fontId="2" type="noConversion"/>
  <conditionalFormatting sqref="A1:I1 E26:F157 A158:F1048576 A2:A157 D2:F25">
    <cfRule type="expression" dxfId="2" priority="1">
      <formula>#REF!="Není PDF - pouze zkopírováno"</formula>
    </cfRule>
    <cfRule type="expression" dxfId="1" priority="2">
      <formula>AND($D1=0,ISTEXT($C1))</formula>
    </cfRule>
    <cfRule type="expression" dxfId="0" priority="3">
      <formula>#REF!="chyba souboru"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MainMenu">
                <anchor moveWithCells="1" sizeWithCells="1">
                  <from>
                    <xdr:col>9</xdr:col>
                    <xdr:colOff>38100</xdr:colOff>
                    <xdr:row>2</xdr:row>
                    <xdr:rowOff>114300</xdr:rowOff>
                  </from>
                  <to>
                    <xdr:col>10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5C112-4F22-4A47-8D1C-AE4C3E018AA3}">
  <sheetPr codeName="List4">
    <tabColor theme="4"/>
  </sheetPr>
  <dimension ref="A2:B9"/>
  <sheetViews>
    <sheetView workbookViewId="0">
      <selection activeCell="G16" sqref="G16"/>
    </sheetView>
  </sheetViews>
  <sheetFormatPr defaultRowHeight="15" x14ac:dyDescent="0.25"/>
  <cols>
    <col min="1" max="1" width="21.140625" bestFit="1" customWidth="1"/>
    <col min="2" max="2" width="41" bestFit="1" customWidth="1"/>
    <col min="3" max="3" width="14.28515625" bestFit="1" customWidth="1"/>
    <col min="4" max="4" width="10.85546875" bestFit="1" customWidth="1"/>
    <col min="5" max="5" width="5.5703125" bestFit="1" customWidth="1"/>
  </cols>
  <sheetData>
    <row r="2" spans="1:2" x14ac:dyDescent="0.25">
      <c r="A2" t="s">
        <v>13</v>
      </c>
      <c r="B2" t="s">
        <v>376</v>
      </c>
    </row>
    <row r="3" spans="1:2" x14ac:dyDescent="0.25">
      <c r="A3" t="s">
        <v>14</v>
      </c>
      <c r="B3" t="s">
        <v>415</v>
      </c>
    </row>
    <row r="4" spans="1:2" x14ac:dyDescent="0.25">
      <c r="A4" t="s">
        <v>16</v>
      </c>
    </row>
    <row r="5" spans="1:2" x14ac:dyDescent="0.25">
      <c r="A5" t="s">
        <v>20</v>
      </c>
      <c r="B5" t="b">
        <v>1</v>
      </c>
    </row>
    <row r="6" spans="1:2" x14ac:dyDescent="0.25">
      <c r="A6" t="s">
        <v>21</v>
      </c>
      <c r="B6" t="b">
        <v>1</v>
      </c>
    </row>
    <row r="7" spans="1:2" x14ac:dyDescent="0.25">
      <c r="A7" t="s">
        <v>370</v>
      </c>
      <c r="B7" t="b">
        <v>0</v>
      </c>
    </row>
    <row r="8" spans="1:2" x14ac:dyDescent="0.25">
      <c r="A8" t="s">
        <v>368</v>
      </c>
      <c r="B8">
        <v>18</v>
      </c>
    </row>
    <row r="9" spans="1:2" x14ac:dyDescent="0.25">
      <c r="A9" t="s">
        <v>371</v>
      </c>
      <c r="B9" t="b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0E57-66B7-4D49-BFBD-E1D47186965D}">
  <sheetPr codeName="List3">
    <tabColor rgb="FFFFFF00"/>
  </sheetPr>
  <dimension ref="A1:B7"/>
  <sheetViews>
    <sheetView workbookViewId="0">
      <selection activeCell="B30" sqref="B30"/>
    </sheetView>
  </sheetViews>
  <sheetFormatPr defaultRowHeight="15" x14ac:dyDescent="0.25"/>
  <cols>
    <col min="2" max="2" width="127" customWidth="1"/>
  </cols>
  <sheetData>
    <row r="1" spans="1:2" x14ac:dyDescent="0.25">
      <c r="A1" s="19" t="s">
        <v>6</v>
      </c>
      <c r="B1" s="19"/>
    </row>
    <row r="2" spans="1:2" x14ac:dyDescent="0.25">
      <c r="A2">
        <v>1</v>
      </c>
      <c r="B2" t="s">
        <v>7</v>
      </c>
    </row>
    <row r="3" spans="1:2" ht="75" x14ac:dyDescent="0.25">
      <c r="A3" s="2">
        <v>2</v>
      </c>
      <c r="B3" s="1" t="s">
        <v>11</v>
      </c>
    </row>
    <row r="4" spans="1:2" ht="45" x14ac:dyDescent="0.25">
      <c r="A4" s="2">
        <v>3</v>
      </c>
      <c r="B4" s="1" t="s">
        <v>8</v>
      </c>
    </row>
    <row r="5" spans="1:2" ht="30" x14ac:dyDescent="0.25">
      <c r="A5">
        <v>4</v>
      </c>
      <c r="B5" s="1" t="s">
        <v>12</v>
      </c>
    </row>
    <row r="7" spans="1:2" ht="60" x14ac:dyDescent="0.25">
      <c r="A7" s="3" t="s">
        <v>9</v>
      </c>
      <c r="B7" s="1" t="s">
        <v>10</v>
      </c>
    </row>
  </sheetData>
  <mergeCells count="1">
    <mergeCell ref="A1:B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E087-9794-45BE-8C9F-4F42C2539AA4}">
  <sheetPr codeName="List5">
    <tabColor rgb="FFFFFF00"/>
  </sheetPr>
  <dimension ref="A1:C6"/>
  <sheetViews>
    <sheetView workbookViewId="0">
      <selection activeCell="C5" sqref="C5"/>
    </sheetView>
  </sheetViews>
  <sheetFormatPr defaultRowHeight="15" x14ac:dyDescent="0.25"/>
  <cols>
    <col min="1" max="1" width="10.140625" bestFit="1" customWidth="1"/>
    <col min="2" max="2" width="56.42578125" bestFit="1" customWidth="1"/>
  </cols>
  <sheetData>
    <row r="1" spans="1:3" x14ac:dyDescent="0.25">
      <c r="A1" t="s">
        <v>31</v>
      </c>
      <c r="B1" t="s">
        <v>32</v>
      </c>
      <c r="C1" t="s">
        <v>417</v>
      </c>
    </row>
    <row r="2" spans="1:3" ht="45" x14ac:dyDescent="0.25">
      <c r="A2" s="15">
        <v>45693</v>
      </c>
      <c r="B2" s="1" t="s">
        <v>416</v>
      </c>
      <c r="C2" t="s">
        <v>418</v>
      </c>
    </row>
    <row r="3" spans="1:3" x14ac:dyDescent="0.25">
      <c r="A3" s="15">
        <v>45741</v>
      </c>
      <c r="B3" t="s">
        <v>375</v>
      </c>
      <c r="C3" t="s">
        <v>418</v>
      </c>
    </row>
    <row r="4" spans="1:3" x14ac:dyDescent="0.25">
      <c r="A4" s="15">
        <v>45601</v>
      </c>
      <c r="B4" t="s">
        <v>372</v>
      </c>
      <c r="C4" t="s">
        <v>418</v>
      </c>
    </row>
    <row r="5" spans="1:3" x14ac:dyDescent="0.25">
      <c r="A5" s="15">
        <v>45601</v>
      </c>
      <c r="B5" t="s">
        <v>369</v>
      </c>
      <c r="C5" t="s">
        <v>418</v>
      </c>
    </row>
    <row r="6" spans="1:3" x14ac:dyDescent="0.25">
      <c r="A6" s="15">
        <v>45079</v>
      </c>
      <c r="B6" t="s">
        <v>33</v>
      </c>
      <c r="C6" t="s">
        <v>418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A082-EB3E-4CB1-AC7D-40FE6F2801D3}">
  <sheetPr codeName="List2">
    <tabColor theme="9"/>
  </sheetPr>
  <dimension ref="B1:L1921"/>
  <sheetViews>
    <sheetView tabSelected="1" workbookViewId="0">
      <selection activeCell="G12" sqref="G12"/>
    </sheetView>
  </sheetViews>
  <sheetFormatPr defaultRowHeight="15" x14ac:dyDescent="0.25"/>
  <cols>
    <col min="2" max="2" width="89.140625" bestFit="1" customWidth="1"/>
    <col min="3" max="3" width="3.5703125" bestFit="1" customWidth="1"/>
    <col min="4" max="4" width="46.85546875" bestFit="1" customWidth="1"/>
    <col min="5" max="5" width="3" bestFit="1" customWidth="1"/>
    <col min="6" max="6" width="7.85546875" bestFit="1" customWidth="1"/>
    <col min="7" max="7" width="63.140625" bestFit="1" customWidth="1"/>
    <col min="10" max="10" width="12.7109375" customWidth="1"/>
  </cols>
  <sheetData>
    <row r="1" spans="2:12" x14ac:dyDescent="0.25">
      <c r="B1" t="s">
        <v>34</v>
      </c>
      <c r="C1" s="4"/>
    </row>
    <row r="2" spans="2:12" x14ac:dyDescent="0.25">
      <c r="B2" t="s">
        <v>35</v>
      </c>
      <c r="C2" s="4"/>
      <c r="L2" t="str">
        <f>MID(C2,7,100)</f>
        <v/>
      </c>
    </row>
    <row r="3" spans="2:12" x14ac:dyDescent="0.25">
      <c r="C3" s="4" t="s">
        <v>15</v>
      </c>
      <c r="D3" t="s">
        <v>434</v>
      </c>
      <c r="E3">
        <v>1</v>
      </c>
      <c r="L3" t="str">
        <f t="shared" ref="L3:L23" si="0">MID(C3,7,100)</f>
        <v/>
      </c>
    </row>
    <row r="4" spans="2:12" x14ac:dyDescent="0.25">
      <c r="B4" t="s">
        <v>36</v>
      </c>
      <c r="C4" s="4"/>
      <c r="L4" t="str">
        <f t="shared" si="0"/>
        <v/>
      </c>
    </row>
    <row r="5" spans="2:12" x14ac:dyDescent="0.25">
      <c r="C5" s="4" t="s">
        <v>15</v>
      </c>
      <c r="D5" t="s">
        <v>69</v>
      </c>
      <c r="E5">
        <v>1</v>
      </c>
      <c r="L5" t="str">
        <f t="shared" si="0"/>
        <v/>
      </c>
    </row>
    <row r="6" spans="2:12" x14ac:dyDescent="0.25">
      <c r="C6" s="4" t="s">
        <v>37</v>
      </c>
      <c r="D6" t="s">
        <v>419</v>
      </c>
      <c r="E6">
        <v>1</v>
      </c>
      <c r="L6" t="str">
        <f t="shared" si="0"/>
        <v/>
      </c>
    </row>
    <row r="7" spans="2:12" x14ac:dyDescent="0.25">
      <c r="C7" s="4" t="s">
        <v>38</v>
      </c>
      <c r="D7" t="s">
        <v>420</v>
      </c>
      <c r="E7">
        <v>1</v>
      </c>
      <c r="L7" t="str">
        <f t="shared" si="0"/>
        <v/>
      </c>
    </row>
    <row r="8" spans="2:12" x14ac:dyDescent="0.25">
      <c r="C8" s="4" t="s">
        <v>39</v>
      </c>
      <c r="D8" t="s">
        <v>421</v>
      </c>
      <c r="E8">
        <v>1</v>
      </c>
      <c r="L8" t="str">
        <f t="shared" si="0"/>
        <v/>
      </c>
    </row>
    <row r="9" spans="2:12" x14ac:dyDescent="0.25">
      <c r="C9" s="4" t="s">
        <v>40</v>
      </c>
      <c r="D9" t="s">
        <v>361</v>
      </c>
      <c r="E9">
        <v>5</v>
      </c>
      <c r="L9" t="str">
        <f t="shared" si="0"/>
        <v/>
      </c>
    </row>
    <row r="10" spans="2:12" x14ac:dyDescent="0.25">
      <c r="B10" t="s">
        <v>49</v>
      </c>
      <c r="C10" s="4"/>
      <c r="L10" t="str">
        <f t="shared" si="0"/>
        <v/>
      </c>
    </row>
    <row r="11" spans="2:12" x14ac:dyDescent="0.25">
      <c r="C11" s="4" t="s">
        <v>15</v>
      </c>
      <c r="D11" t="s">
        <v>422</v>
      </c>
      <c r="E11">
        <v>6</v>
      </c>
      <c r="L11" t="str">
        <f t="shared" si="0"/>
        <v/>
      </c>
    </row>
    <row r="12" spans="2:12" x14ac:dyDescent="0.25">
      <c r="B12" t="s">
        <v>24</v>
      </c>
      <c r="C12" s="4"/>
      <c r="L12" t="str">
        <f t="shared" si="0"/>
        <v/>
      </c>
    </row>
    <row r="13" spans="2:12" x14ac:dyDescent="0.25">
      <c r="B13" t="s">
        <v>50</v>
      </c>
      <c r="C13" s="4"/>
      <c r="L13" t="str">
        <f t="shared" si="0"/>
        <v/>
      </c>
    </row>
    <row r="14" spans="2:12" x14ac:dyDescent="0.25">
      <c r="C14" s="4" t="s">
        <v>15</v>
      </c>
      <c r="D14" t="s">
        <v>77</v>
      </c>
      <c r="E14">
        <v>18</v>
      </c>
      <c r="L14" t="str">
        <f t="shared" si="0"/>
        <v/>
      </c>
    </row>
    <row r="15" spans="2:12" x14ac:dyDescent="0.25">
      <c r="B15" t="s">
        <v>51</v>
      </c>
      <c r="C15" s="4"/>
      <c r="L15" t="str">
        <f t="shared" si="0"/>
        <v/>
      </c>
    </row>
    <row r="16" spans="2:12" x14ac:dyDescent="0.25">
      <c r="C16" s="4" t="s">
        <v>15</v>
      </c>
      <c r="D16" t="s">
        <v>423</v>
      </c>
      <c r="E16">
        <v>3</v>
      </c>
      <c r="L16" t="str">
        <f t="shared" si="0"/>
        <v/>
      </c>
    </row>
    <row r="17" spans="2:12" x14ac:dyDescent="0.25">
      <c r="B17" t="s">
        <v>55</v>
      </c>
      <c r="C17" s="4"/>
      <c r="L17" t="str">
        <f t="shared" si="0"/>
        <v/>
      </c>
    </row>
    <row r="18" spans="2:12" x14ac:dyDescent="0.25">
      <c r="C18" s="4" t="s">
        <v>15</v>
      </c>
      <c r="D18" t="s">
        <v>424</v>
      </c>
      <c r="E18">
        <v>1</v>
      </c>
      <c r="L18" t="str">
        <f t="shared" si="0"/>
        <v/>
      </c>
    </row>
    <row r="19" spans="2:12" x14ac:dyDescent="0.25">
      <c r="C19" s="4" t="s">
        <v>37</v>
      </c>
      <c r="D19" t="s">
        <v>425</v>
      </c>
      <c r="E19">
        <v>1</v>
      </c>
      <c r="L19" t="str">
        <f t="shared" si="0"/>
        <v/>
      </c>
    </row>
    <row r="20" spans="2:12" x14ac:dyDescent="0.25">
      <c r="C20" s="4" t="s">
        <v>38</v>
      </c>
      <c r="D20" t="s">
        <v>426</v>
      </c>
      <c r="E20">
        <v>1</v>
      </c>
      <c r="L20" t="str">
        <f t="shared" si="0"/>
        <v/>
      </c>
    </row>
    <row r="21" spans="2:12" x14ac:dyDescent="0.25">
      <c r="C21" s="4" t="s">
        <v>39</v>
      </c>
      <c r="D21" t="s">
        <v>427</v>
      </c>
      <c r="E21">
        <v>1</v>
      </c>
      <c r="L21" t="str">
        <f t="shared" si="0"/>
        <v/>
      </c>
    </row>
    <row r="22" spans="2:12" x14ac:dyDescent="0.25">
      <c r="C22" s="4" t="s">
        <v>40</v>
      </c>
      <c r="D22" t="s">
        <v>428</v>
      </c>
      <c r="E22">
        <v>1</v>
      </c>
      <c r="L22" t="str">
        <f t="shared" si="0"/>
        <v/>
      </c>
    </row>
    <row r="23" spans="2:12" x14ac:dyDescent="0.25">
      <c r="C23" s="4" t="s">
        <v>41</v>
      </c>
      <c r="D23" t="s">
        <v>429</v>
      </c>
      <c r="E23">
        <v>1</v>
      </c>
      <c r="L23" t="str">
        <f t="shared" si="0"/>
        <v/>
      </c>
    </row>
    <row r="24" spans="2:12" x14ac:dyDescent="0.25">
      <c r="C24" s="4" t="s">
        <v>42</v>
      </c>
      <c r="D24" t="s">
        <v>430</v>
      </c>
      <c r="E24">
        <v>1</v>
      </c>
    </row>
    <row r="25" spans="2:12" x14ac:dyDescent="0.25">
      <c r="C25" s="4" t="s">
        <v>43</v>
      </c>
      <c r="D25" t="s">
        <v>431</v>
      </c>
      <c r="E25">
        <v>1</v>
      </c>
    </row>
    <row r="26" spans="2:12" x14ac:dyDescent="0.25">
      <c r="B26" t="s">
        <v>66</v>
      </c>
      <c r="C26" s="4"/>
    </row>
    <row r="27" spans="2:12" x14ac:dyDescent="0.25">
      <c r="B27" t="s">
        <v>25</v>
      </c>
      <c r="C27" s="4"/>
    </row>
    <row r="28" spans="2:12" x14ac:dyDescent="0.25">
      <c r="C28" s="4" t="s">
        <v>15</v>
      </c>
      <c r="D28" t="s">
        <v>432</v>
      </c>
      <c r="E28">
        <v>7</v>
      </c>
    </row>
    <row r="29" spans="2:12" x14ac:dyDescent="0.25">
      <c r="B29" t="s">
        <v>67</v>
      </c>
      <c r="C29" s="4"/>
    </row>
    <row r="30" spans="2:12" x14ac:dyDescent="0.25">
      <c r="C30" s="4" t="s">
        <v>15</v>
      </c>
      <c r="D30" t="s">
        <v>433</v>
      </c>
      <c r="E30">
        <v>1</v>
      </c>
    </row>
    <row r="31" spans="2:12" x14ac:dyDescent="0.25">
      <c r="C31" s="4"/>
    </row>
    <row r="32" spans="2:12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  <row r="1001" spans="3:3" x14ac:dyDescent="0.25">
      <c r="C1001" s="4"/>
    </row>
    <row r="1002" spans="3:3" x14ac:dyDescent="0.25">
      <c r="C1002" s="4"/>
    </row>
    <row r="1003" spans="3:3" x14ac:dyDescent="0.25">
      <c r="C1003" s="4"/>
    </row>
    <row r="1004" spans="3:3" x14ac:dyDescent="0.25">
      <c r="C1004" s="4"/>
    </row>
    <row r="1005" spans="3:3" x14ac:dyDescent="0.25">
      <c r="C1005" s="4"/>
    </row>
    <row r="1006" spans="3:3" x14ac:dyDescent="0.25">
      <c r="C1006" s="4"/>
    </row>
    <row r="1007" spans="3:3" x14ac:dyDescent="0.25">
      <c r="C1007" s="4"/>
    </row>
    <row r="1008" spans="3:3" x14ac:dyDescent="0.25">
      <c r="C1008" s="4"/>
    </row>
    <row r="1009" spans="3:3" x14ac:dyDescent="0.25">
      <c r="C1009" s="4"/>
    </row>
    <row r="1010" spans="3:3" x14ac:dyDescent="0.25">
      <c r="C1010" s="4"/>
    </row>
    <row r="1011" spans="3:3" x14ac:dyDescent="0.25">
      <c r="C1011" s="4"/>
    </row>
    <row r="1012" spans="3:3" x14ac:dyDescent="0.25">
      <c r="C1012" s="4"/>
    </row>
    <row r="1013" spans="3:3" x14ac:dyDescent="0.25">
      <c r="C1013" s="4"/>
    </row>
    <row r="1014" spans="3:3" x14ac:dyDescent="0.25">
      <c r="C1014" s="4"/>
    </row>
    <row r="1015" spans="3:3" x14ac:dyDescent="0.25">
      <c r="C1015" s="4"/>
    </row>
    <row r="1016" spans="3:3" x14ac:dyDescent="0.25">
      <c r="C1016" s="4"/>
    </row>
    <row r="1017" spans="3:3" x14ac:dyDescent="0.25">
      <c r="C1017" s="4"/>
    </row>
    <row r="1018" spans="3:3" x14ac:dyDescent="0.25">
      <c r="C1018" s="4"/>
    </row>
    <row r="1019" spans="3:3" x14ac:dyDescent="0.25">
      <c r="C1019" s="4"/>
    </row>
    <row r="1020" spans="3:3" x14ac:dyDescent="0.25">
      <c r="C1020" s="4"/>
    </row>
    <row r="1021" spans="3:3" x14ac:dyDescent="0.25">
      <c r="C1021" s="4"/>
    </row>
    <row r="1022" spans="3:3" x14ac:dyDescent="0.25">
      <c r="C1022" s="4"/>
    </row>
    <row r="1023" spans="3:3" x14ac:dyDescent="0.25">
      <c r="C1023" s="4"/>
    </row>
    <row r="1024" spans="3:3" x14ac:dyDescent="0.25">
      <c r="C1024" s="4"/>
    </row>
    <row r="1025" spans="3:3" x14ac:dyDescent="0.25">
      <c r="C1025" s="4"/>
    </row>
    <row r="1026" spans="3:3" x14ac:dyDescent="0.25">
      <c r="C1026" s="4"/>
    </row>
    <row r="1027" spans="3:3" x14ac:dyDescent="0.25">
      <c r="C1027" s="4"/>
    </row>
    <row r="1028" spans="3:3" x14ac:dyDescent="0.25">
      <c r="C1028" s="4"/>
    </row>
    <row r="1029" spans="3:3" x14ac:dyDescent="0.25">
      <c r="C1029" s="4"/>
    </row>
    <row r="1030" spans="3:3" x14ac:dyDescent="0.25">
      <c r="C1030" s="4"/>
    </row>
    <row r="1031" spans="3:3" x14ac:dyDescent="0.25">
      <c r="C1031" s="4"/>
    </row>
    <row r="1032" spans="3:3" x14ac:dyDescent="0.25">
      <c r="C1032" s="4"/>
    </row>
    <row r="1033" spans="3:3" x14ac:dyDescent="0.25">
      <c r="C1033" s="4"/>
    </row>
    <row r="1034" spans="3:3" x14ac:dyDescent="0.25">
      <c r="C1034" s="4"/>
    </row>
    <row r="1035" spans="3:3" x14ac:dyDescent="0.25">
      <c r="C1035" s="4"/>
    </row>
    <row r="1036" spans="3:3" x14ac:dyDescent="0.25">
      <c r="C1036" s="4"/>
    </row>
    <row r="1037" spans="3:3" x14ac:dyDescent="0.25">
      <c r="C1037" s="4"/>
    </row>
    <row r="1038" spans="3:3" x14ac:dyDescent="0.25">
      <c r="C1038" s="4"/>
    </row>
    <row r="1039" spans="3:3" x14ac:dyDescent="0.25">
      <c r="C1039" s="4"/>
    </row>
    <row r="1040" spans="3:3" x14ac:dyDescent="0.25">
      <c r="C1040" s="4"/>
    </row>
    <row r="1041" spans="3:3" x14ac:dyDescent="0.25">
      <c r="C1041" s="4"/>
    </row>
    <row r="1042" spans="3:3" x14ac:dyDescent="0.25">
      <c r="C1042" s="4"/>
    </row>
    <row r="1043" spans="3:3" x14ac:dyDescent="0.25">
      <c r="C1043" s="4"/>
    </row>
    <row r="1044" spans="3:3" x14ac:dyDescent="0.25">
      <c r="C1044" s="4"/>
    </row>
    <row r="1045" spans="3:3" x14ac:dyDescent="0.25">
      <c r="C1045" s="4"/>
    </row>
    <row r="1046" spans="3:3" x14ac:dyDescent="0.25">
      <c r="C1046" s="4"/>
    </row>
    <row r="1047" spans="3:3" x14ac:dyDescent="0.25">
      <c r="C1047" s="4"/>
    </row>
    <row r="1048" spans="3:3" x14ac:dyDescent="0.25">
      <c r="C1048" s="4"/>
    </row>
    <row r="1049" spans="3:3" x14ac:dyDescent="0.25">
      <c r="C1049" s="4"/>
    </row>
    <row r="1050" spans="3:3" x14ac:dyDescent="0.25">
      <c r="C1050" s="4"/>
    </row>
    <row r="1051" spans="3:3" x14ac:dyDescent="0.25">
      <c r="C1051" s="4"/>
    </row>
    <row r="1052" spans="3:3" x14ac:dyDescent="0.25">
      <c r="C1052" s="4"/>
    </row>
    <row r="1053" spans="3:3" x14ac:dyDescent="0.25">
      <c r="C1053" s="4"/>
    </row>
    <row r="1054" spans="3:3" x14ac:dyDescent="0.25">
      <c r="C1054" s="4"/>
    </row>
    <row r="1055" spans="3:3" x14ac:dyDescent="0.25">
      <c r="C1055" s="4"/>
    </row>
    <row r="1056" spans="3:3" x14ac:dyDescent="0.25">
      <c r="C1056" s="4"/>
    </row>
    <row r="1057" spans="3:3" x14ac:dyDescent="0.25">
      <c r="C1057" s="4"/>
    </row>
    <row r="1058" spans="3:3" x14ac:dyDescent="0.25">
      <c r="C1058" s="4"/>
    </row>
    <row r="1059" spans="3:3" x14ac:dyDescent="0.25">
      <c r="C1059" s="4"/>
    </row>
    <row r="1060" spans="3:3" x14ac:dyDescent="0.25">
      <c r="C1060" s="4"/>
    </row>
    <row r="1061" spans="3:3" x14ac:dyDescent="0.25">
      <c r="C1061" s="4"/>
    </row>
    <row r="1062" spans="3:3" x14ac:dyDescent="0.25">
      <c r="C1062" s="4"/>
    </row>
    <row r="1063" spans="3:3" x14ac:dyDescent="0.25">
      <c r="C1063" s="4"/>
    </row>
    <row r="1064" spans="3:3" x14ac:dyDescent="0.25">
      <c r="C1064" s="4"/>
    </row>
    <row r="1065" spans="3:3" x14ac:dyDescent="0.25">
      <c r="C1065" s="4"/>
    </row>
    <row r="1066" spans="3:3" x14ac:dyDescent="0.25">
      <c r="C1066" s="4"/>
    </row>
    <row r="1067" spans="3:3" x14ac:dyDescent="0.25">
      <c r="C1067" s="4"/>
    </row>
    <row r="1068" spans="3:3" x14ac:dyDescent="0.25">
      <c r="C1068" s="4"/>
    </row>
    <row r="1069" spans="3:3" x14ac:dyDescent="0.25">
      <c r="C1069" s="4"/>
    </row>
    <row r="1070" spans="3:3" x14ac:dyDescent="0.25">
      <c r="C1070" s="4"/>
    </row>
    <row r="1071" spans="3:3" x14ac:dyDescent="0.25">
      <c r="C1071" s="4"/>
    </row>
    <row r="1072" spans="3:3" x14ac:dyDescent="0.25">
      <c r="C1072" s="4"/>
    </row>
    <row r="1073" spans="3:3" x14ac:dyDescent="0.25">
      <c r="C1073" s="4"/>
    </row>
    <row r="1074" spans="3:3" x14ac:dyDescent="0.25">
      <c r="C1074" s="4"/>
    </row>
    <row r="1075" spans="3:3" x14ac:dyDescent="0.25">
      <c r="C1075" s="4"/>
    </row>
    <row r="1076" spans="3:3" x14ac:dyDescent="0.25">
      <c r="C1076" s="4"/>
    </row>
    <row r="1077" spans="3:3" x14ac:dyDescent="0.25">
      <c r="C1077" s="4"/>
    </row>
    <row r="1078" spans="3:3" x14ac:dyDescent="0.25">
      <c r="C1078" s="4"/>
    </row>
    <row r="1079" spans="3:3" x14ac:dyDescent="0.25">
      <c r="C1079" s="4"/>
    </row>
    <row r="1080" spans="3:3" x14ac:dyDescent="0.25">
      <c r="C1080" s="4"/>
    </row>
    <row r="1081" spans="3:3" x14ac:dyDescent="0.25">
      <c r="C1081" s="4"/>
    </row>
    <row r="1082" spans="3:3" x14ac:dyDescent="0.25">
      <c r="C1082" s="4"/>
    </row>
    <row r="1083" spans="3:3" x14ac:dyDescent="0.25">
      <c r="C1083" s="4"/>
    </row>
    <row r="1084" spans="3:3" x14ac:dyDescent="0.25">
      <c r="C1084" s="4"/>
    </row>
    <row r="1085" spans="3:3" x14ac:dyDescent="0.25">
      <c r="C1085" s="4"/>
    </row>
    <row r="1086" spans="3:3" x14ac:dyDescent="0.25">
      <c r="C1086" s="4"/>
    </row>
    <row r="1087" spans="3:3" x14ac:dyDescent="0.25">
      <c r="C1087" s="4"/>
    </row>
    <row r="1088" spans="3:3" x14ac:dyDescent="0.25">
      <c r="C1088" s="4"/>
    </row>
    <row r="1089" spans="3:3" x14ac:dyDescent="0.25">
      <c r="C1089" s="4"/>
    </row>
    <row r="1090" spans="3:3" x14ac:dyDescent="0.25">
      <c r="C1090" s="4"/>
    </row>
    <row r="1091" spans="3:3" x14ac:dyDescent="0.25">
      <c r="C1091" s="4"/>
    </row>
    <row r="1092" spans="3:3" x14ac:dyDescent="0.25">
      <c r="C1092" s="4"/>
    </row>
    <row r="1093" spans="3:3" x14ac:dyDescent="0.25">
      <c r="C1093" s="4"/>
    </row>
    <row r="1094" spans="3:3" x14ac:dyDescent="0.25">
      <c r="C1094" s="4"/>
    </row>
    <row r="1095" spans="3:3" x14ac:dyDescent="0.25">
      <c r="C1095" s="4"/>
    </row>
    <row r="1096" spans="3:3" x14ac:dyDescent="0.25">
      <c r="C1096" s="4"/>
    </row>
    <row r="1097" spans="3:3" x14ac:dyDescent="0.25">
      <c r="C1097" s="4"/>
    </row>
    <row r="1098" spans="3:3" x14ac:dyDescent="0.25">
      <c r="C1098" s="4"/>
    </row>
    <row r="1099" spans="3:3" x14ac:dyDescent="0.25">
      <c r="C1099" s="4"/>
    </row>
    <row r="1100" spans="3:3" x14ac:dyDescent="0.25">
      <c r="C1100" s="4"/>
    </row>
    <row r="1101" spans="3:3" x14ac:dyDescent="0.25">
      <c r="C1101" s="4"/>
    </row>
    <row r="1102" spans="3:3" x14ac:dyDescent="0.25">
      <c r="C1102" s="4"/>
    </row>
    <row r="1103" spans="3:3" x14ac:dyDescent="0.25">
      <c r="C1103" s="4"/>
    </row>
    <row r="1104" spans="3:3" x14ac:dyDescent="0.25">
      <c r="C1104" s="4"/>
    </row>
    <row r="1105" spans="3:3" x14ac:dyDescent="0.25">
      <c r="C1105" s="4"/>
    </row>
    <row r="1106" spans="3:3" x14ac:dyDescent="0.25">
      <c r="C1106" s="4"/>
    </row>
    <row r="1107" spans="3:3" x14ac:dyDescent="0.25">
      <c r="C1107" s="4"/>
    </row>
    <row r="1108" spans="3:3" x14ac:dyDescent="0.25">
      <c r="C1108" s="4"/>
    </row>
    <row r="1109" spans="3:3" x14ac:dyDescent="0.25">
      <c r="C1109" s="4"/>
    </row>
    <row r="1110" spans="3:3" x14ac:dyDescent="0.25">
      <c r="C1110" s="4"/>
    </row>
    <row r="1111" spans="3:3" x14ac:dyDescent="0.25">
      <c r="C1111" s="4"/>
    </row>
    <row r="1112" spans="3:3" x14ac:dyDescent="0.25">
      <c r="C1112" s="4"/>
    </row>
    <row r="1113" spans="3:3" x14ac:dyDescent="0.25">
      <c r="C1113" s="4"/>
    </row>
    <row r="1114" spans="3:3" x14ac:dyDescent="0.25">
      <c r="C1114" s="4"/>
    </row>
    <row r="1115" spans="3:3" x14ac:dyDescent="0.25">
      <c r="C1115" s="4"/>
    </row>
    <row r="1116" spans="3:3" x14ac:dyDescent="0.25">
      <c r="C1116" s="4"/>
    </row>
    <row r="1117" spans="3:3" x14ac:dyDescent="0.25">
      <c r="C1117" s="4"/>
    </row>
    <row r="1118" spans="3:3" x14ac:dyDescent="0.25">
      <c r="C1118" s="4"/>
    </row>
    <row r="1119" spans="3:3" x14ac:dyDescent="0.25">
      <c r="C1119" s="4"/>
    </row>
    <row r="1120" spans="3:3" x14ac:dyDescent="0.25">
      <c r="C1120" s="4"/>
    </row>
    <row r="1121" spans="3:3" x14ac:dyDescent="0.25">
      <c r="C1121" s="4"/>
    </row>
    <row r="1122" spans="3:3" x14ac:dyDescent="0.25">
      <c r="C1122" s="4"/>
    </row>
    <row r="1123" spans="3:3" x14ac:dyDescent="0.25">
      <c r="C1123" s="4"/>
    </row>
    <row r="1124" spans="3:3" x14ac:dyDescent="0.25">
      <c r="C1124" s="4"/>
    </row>
    <row r="1125" spans="3:3" x14ac:dyDescent="0.25">
      <c r="C1125" s="4"/>
    </row>
    <row r="1126" spans="3:3" x14ac:dyDescent="0.25">
      <c r="C1126" s="4"/>
    </row>
    <row r="1127" spans="3:3" x14ac:dyDescent="0.25">
      <c r="C1127" s="4"/>
    </row>
    <row r="1128" spans="3:3" x14ac:dyDescent="0.25">
      <c r="C1128" s="4"/>
    </row>
    <row r="1129" spans="3:3" x14ac:dyDescent="0.25">
      <c r="C1129" s="4"/>
    </row>
    <row r="1130" spans="3:3" x14ac:dyDescent="0.25">
      <c r="C1130" s="4"/>
    </row>
    <row r="1131" spans="3:3" x14ac:dyDescent="0.25">
      <c r="C1131" s="4"/>
    </row>
    <row r="1132" spans="3:3" x14ac:dyDescent="0.25">
      <c r="C1132" s="4"/>
    </row>
    <row r="1133" spans="3:3" x14ac:dyDescent="0.25">
      <c r="C1133" s="4"/>
    </row>
    <row r="1134" spans="3:3" x14ac:dyDescent="0.25">
      <c r="C1134" s="4"/>
    </row>
    <row r="1135" spans="3:3" x14ac:dyDescent="0.25">
      <c r="C1135" s="4"/>
    </row>
    <row r="1136" spans="3:3" x14ac:dyDescent="0.25">
      <c r="C1136" s="4"/>
    </row>
    <row r="1137" spans="3:3" x14ac:dyDescent="0.25">
      <c r="C1137" s="4"/>
    </row>
    <row r="1138" spans="3:3" x14ac:dyDescent="0.25">
      <c r="C1138" s="4"/>
    </row>
    <row r="1139" spans="3:3" x14ac:dyDescent="0.25">
      <c r="C1139" s="4"/>
    </row>
    <row r="1140" spans="3:3" x14ac:dyDescent="0.25">
      <c r="C1140" s="4"/>
    </row>
    <row r="1141" spans="3:3" x14ac:dyDescent="0.25">
      <c r="C1141" s="4"/>
    </row>
    <row r="1142" spans="3:3" x14ac:dyDescent="0.25">
      <c r="C1142" s="4"/>
    </row>
    <row r="1143" spans="3:3" x14ac:dyDescent="0.25">
      <c r="C1143" s="4"/>
    </row>
    <row r="1144" spans="3:3" x14ac:dyDescent="0.25">
      <c r="C1144" s="4"/>
    </row>
    <row r="1145" spans="3:3" x14ac:dyDescent="0.25">
      <c r="C1145" s="4"/>
    </row>
    <row r="1146" spans="3:3" x14ac:dyDescent="0.25">
      <c r="C1146" s="4"/>
    </row>
    <row r="1147" spans="3:3" x14ac:dyDescent="0.25">
      <c r="C1147" s="4"/>
    </row>
    <row r="1148" spans="3:3" x14ac:dyDescent="0.25">
      <c r="C1148" s="4"/>
    </row>
    <row r="1149" spans="3:3" x14ac:dyDescent="0.25">
      <c r="C1149" s="4"/>
    </row>
    <row r="1150" spans="3:3" x14ac:dyDescent="0.25">
      <c r="C1150" s="4"/>
    </row>
    <row r="1151" spans="3:3" x14ac:dyDescent="0.25">
      <c r="C1151" s="4"/>
    </row>
    <row r="1152" spans="3:3" x14ac:dyDescent="0.25">
      <c r="C1152" s="4"/>
    </row>
    <row r="1153" spans="3:3" x14ac:dyDescent="0.25">
      <c r="C1153" s="4"/>
    </row>
    <row r="1154" spans="3:3" x14ac:dyDescent="0.25">
      <c r="C1154" s="4"/>
    </row>
    <row r="1155" spans="3:3" x14ac:dyDescent="0.25">
      <c r="C1155" s="4"/>
    </row>
    <row r="1156" spans="3:3" x14ac:dyDescent="0.25">
      <c r="C1156" s="4"/>
    </row>
    <row r="1157" spans="3:3" x14ac:dyDescent="0.25">
      <c r="C1157" s="4"/>
    </row>
    <row r="1158" spans="3:3" x14ac:dyDescent="0.25">
      <c r="C1158" s="4"/>
    </row>
    <row r="1159" spans="3:3" x14ac:dyDescent="0.25">
      <c r="C1159" s="4"/>
    </row>
    <row r="1160" spans="3:3" x14ac:dyDescent="0.25">
      <c r="C1160" s="4"/>
    </row>
    <row r="1161" spans="3:3" x14ac:dyDescent="0.25">
      <c r="C1161" s="4"/>
    </row>
    <row r="1162" spans="3:3" x14ac:dyDescent="0.25">
      <c r="C1162" s="4"/>
    </row>
    <row r="1163" spans="3:3" x14ac:dyDescent="0.25">
      <c r="C1163" s="4"/>
    </row>
    <row r="1164" spans="3:3" x14ac:dyDescent="0.25">
      <c r="C1164" s="4"/>
    </row>
    <row r="1165" spans="3:3" x14ac:dyDescent="0.25">
      <c r="C1165" s="4"/>
    </row>
    <row r="1166" spans="3:3" x14ac:dyDescent="0.25">
      <c r="C1166" s="4"/>
    </row>
    <row r="1167" spans="3:3" x14ac:dyDescent="0.25">
      <c r="C1167" s="4"/>
    </row>
    <row r="1168" spans="3:3" x14ac:dyDescent="0.25">
      <c r="C1168" s="4"/>
    </row>
    <row r="1169" spans="3:3" x14ac:dyDescent="0.25">
      <c r="C1169" s="4"/>
    </row>
    <row r="1170" spans="3:3" x14ac:dyDescent="0.25">
      <c r="C1170" s="4"/>
    </row>
    <row r="1171" spans="3:3" x14ac:dyDescent="0.25">
      <c r="C1171" s="4"/>
    </row>
    <row r="1172" spans="3:3" x14ac:dyDescent="0.25">
      <c r="C1172" s="4"/>
    </row>
    <row r="1173" spans="3:3" x14ac:dyDescent="0.25">
      <c r="C1173" s="4"/>
    </row>
    <row r="1174" spans="3:3" x14ac:dyDescent="0.25">
      <c r="C1174" s="4"/>
    </row>
    <row r="1175" spans="3:3" x14ac:dyDescent="0.25">
      <c r="C1175" s="4"/>
    </row>
    <row r="1176" spans="3:3" x14ac:dyDescent="0.25">
      <c r="C1176" s="4"/>
    </row>
    <row r="1177" spans="3:3" x14ac:dyDescent="0.25">
      <c r="C1177" s="4"/>
    </row>
    <row r="1178" spans="3:3" x14ac:dyDescent="0.25">
      <c r="C1178" s="4"/>
    </row>
    <row r="1179" spans="3:3" x14ac:dyDescent="0.25">
      <c r="C1179" s="4"/>
    </row>
    <row r="1180" spans="3:3" x14ac:dyDescent="0.25">
      <c r="C1180" s="4"/>
    </row>
    <row r="1181" spans="3:3" x14ac:dyDescent="0.25">
      <c r="C1181" s="4"/>
    </row>
    <row r="1182" spans="3:3" x14ac:dyDescent="0.25">
      <c r="C1182" s="4"/>
    </row>
    <row r="1183" spans="3:3" x14ac:dyDescent="0.25">
      <c r="C1183" s="4"/>
    </row>
    <row r="1184" spans="3:3" x14ac:dyDescent="0.25">
      <c r="C1184" s="4"/>
    </row>
    <row r="1185" spans="3:3" x14ac:dyDescent="0.25">
      <c r="C1185" s="4"/>
    </row>
    <row r="1186" spans="3:3" x14ac:dyDescent="0.25">
      <c r="C1186" s="4"/>
    </row>
    <row r="1187" spans="3:3" x14ac:dyDescent="0.25">
      <c r="C1187" s="4"/>
    </row>
    <row r="1188" spans="3:3" x14ac:dyDescent="0.25">
      <c r="C1188" s="4"/>
    </row>
    <row r="1189" spans="3:3" x14ac:dyDescent="0.25">
      <c r="C1189" s="4"/>
    </row>
    <row r="1190" spans="3:3" x14ac:dyDescent="0.25">
      <c r="C1190" s="4"/>
    </row>
    <row r="1191" spans="3:3" x14ac:dyDescent="0.25">
      <c r="C1191" s="4"/>
    </row>
    <row r="1192" spans="3:3" x14ac:dyDescent="0.25">
      <c r="C1192" s="4"/>
    </row>
    <row r="1193" spans="3:3" x14ac:dyDescent="0.25">
      <c r="C1193" s="4"/>
    </row>
    <row r="1194" spans="3:3" x14ac:dyDescent="0.25">
      <c r="C1194" s="4"/>
    </row>
    <row r="1195" spans="3:3" x14ac:dyDescent="0.25">
      <c r="C1195" s="4"/>
    </row>
    <row r="1196" spans="3:3" x14ac:dyDescent="0.25">
      <c r="C1196" s="4"/>
    </row>
    <row r="1197" spans="3:3" x14ac:dyDescent="0.25">
      <c r="C1197" s="4"/>
    </row>
    <row r="1198" spans="3:3" x14ac:dyDescent="0.25">
      <c r="C1198" s="4"/>
    </row>
    <row r="1199" spans="3:3" x14ac:dyDescent="0.25">
      <c r="C1199" s="4"/>
    </row>
    <row r="1200" spans="3:3" x14ac:dyDescent="0.25">
      <c r="C1200" s="4"/>
    </row>
    <row r="1201" spans="3:3" x14ac:dyDescent="0.25">
      <c r="C1201" s="4"/>
    </row>
    <row r="1202" spans="3:3" x14ac:dyDescent="0.25">
      <c r="C1202" s="4"/>
    </row>
    <row r="1203" spans="3:3" x14ac:dyDescent="0.25">
      <c r="C1203" s="4"/>
    </row>
    <row r="1204" spans="3:3" x14ac:dyDescent="0.25">
      <c r="C1204" s="4"/>
    </row>
    <row r="1205" spans="3:3" x14ac:dyDescent="0.25">
      <c r="C1205" s="4"/>
    </row>
    <row r="1206" spans="3:3" x14ac:dyDescent="0.25">
      <c r="C1206" s="4"/>
    </row>
    <row r="1207" spans="3:3" x14ac:dyDescent="0.25">
      <c r="C1207" s="4"/>
    </row>
    <row r="1208" spans="3:3" x14ac:dyDescent="0.25">
      <c r="C1208" s="4"/>
    </row>
    <row r="1209" spans="3:3" x14ac:dyDescent="0.25">
      <c r="C1209" s="4"/>
    </row>
    <row r="1210" spans="3:3" x14ac:dyDescent="0.25">
      <c r="C1210" s="4"/>
    </row>
    <row r="1211" spans="3:3" x14ac:dyDescent="0.25">
      <c r="C1211" s="4"/>
    </row>
    <row r="1212" spans="3:3" x14ac:dyDescent="0.25">
      <c r="C1212" s="4"/>
    </row>
    <row r="1213" spans="3:3" x14ac:dyDescent="0.25">
      <c r="C1213" s="4"/>
    </row>
    <row r="1214" spans="3:3" x14ac:dyDescent="0.25">
      <c r="C1214" s="4"/>
    </row>
    <row r="1215" spans="3:3" x14ac:dyDescent="0.25">
      <c r="C1215" s="4"/>
    </row>
    <row r="1216" spans="3:3" x14ac:dyDescent="0.25">
      <c r="C1216" s="4"/>
    </row>
    <row r="1217" spans="3:3" x14ac:dyDescent="0.25">
      <c r="C1217" s="4"/>
    </row>
    <row r="1218" spans="3:3" x14ac:dyDescent="0.25">
      <c r="C1218" s="4"/>
    </row>
    <row r="1219" spans="3:3" x14ac:dyDescent="0.25">
      <c r="C1219" s="4"/>
    </row>
    <row r="1220" spans="3:3" x14ac:dyDescent="0.25">
      <c r="C1220" s="4"/>
    </row>
    <row r="1221" spans="3:3" x14ac:dyDescent="0.25">
      <c r="C1221" s="4"/>
    </row>
    <row r="1222" spans="3:3" x14ac:dyDescent="0.25">
      <c r="C1222" s="4"/>
    </row>
    <row r="1223" spans="3:3" x14ac:dyDescent="0.25">
      <c r="C1223" s="4"/>
    </row>
    <row r="1224" spans="3:3" x14ac:dyDescent="0.25">
      <c r="C1224" s="4"/>
    </row>
    <row r="1225" spans="3:3" x14ac:dyDescent="0.25">
      <c r="C1225" s="4"/>
    </row>
    <row r="1226" spans="3:3" x14ac:dyDescent="0.25">
      <c r="C1226" s="4"/>
    </row>
    <row r="1227" spans="3:3" x14ac:dyDescent="0.25">
      <c r="C1227" s="4"/>
    </row>
    <row r="1228" spans="3:3" x14ac:dyDescent="0.25">
      <c r="C1228" s="4"/>
    </row>
    <row r="1229" spans="3:3" x14ac:dyDescent="0.25">
      <c r="C1229" s="4"/>
    </row>
    <row r="1230" spans="3:3" x14ac:dyDescent="0.25">
      <c r="C1230" s="4"/>
    </row>
    <row r="1231" spans="3:3" x14ac:dyDescent="0.25">
      <c r="C1231" s="4"/>
    </row>
    <row r="1232" spans="3:3" x14ac:dyDescent="0.25">
      <c r="C1232" s="4"/>
    </row>
    <row r="1233" spans="3:3" x14ac:dyDescent="0.25">
      <c r="C1233" s="4"/>
    </row>
    <row r="1234" spans="3:3" x14ac:dyDescent="0.25">
      <c r="C1234" s="4"/>
    </row>
    <row r="1235" spans="3:3" x14ac:dyDescent="0.25">
      <c r="C1235" s="4"/>
    </row>
    <row r="1236" spans="3:3" x14ac:dyDescent="0.25">
      <c r="C1236" s="4"/>
    </row>
    <row r="1237" spans="3:3" x14ac:dyDescent="0.25">
      <c r="C1237" s="4"/>
    </row>
    <row r="1238" spans="3:3" x14ac:dyDescent="0.25">
      <c r="C1238" s="4"/>
    </row>
    <row r="1239" spans="3:3" x14ac:dyDescent="0.25">
      <c r="C1239" s="4"/>
    </row>
    <row r="1240" spans="3:3" x14ac:dyDescent="0.25">
      <c r="C1240" s="4"/>
    </row>
    <row r="1241" spans="3:3" x14ac:dyDescent="0.25">
      <c r="C1241" s="4"/>
    </row>
    <row r="1242" spans="3:3" x14ac:dyDescent="0.25">
      <c r="C1242" s="4"/>
    </row>
    <row r="1243" spans="3:3" x14ac:dyDescent="0.25">
      <c r="C1243" s="4"/>
    </row>
    <row r="1244" spans="3:3" x14ac:dyDescent="0.25">
      <c r="C1244" s="4"/>
    </row>
    <row r="1245" spans="3:3" x14ac:dyDescent="0.25">
      <c r="C1245" s="4"/>
    </row>
    <row r="1246" spans="3:3" x14ac:dyDescent="0.25">
      <c r="C1246" s="4"/>
    </row>
    <row r="1247" spans="3:3" x14ac:dyDescent="0.25">
      <c r="C1247" s="4"/>
    </row>
    <row r="1248" spans="3:3" x14ac:dyDescent="0.25">
      <c r="C1248" s="4"/>
    </row>
    <row r="1249" spans="3:3" x14ac:dyDescent="0.25">
      <c r="C1249" s="4"/>
    </row>
    <row r="1250" spans="3:3" x14ac:dyDescent="0.25">
      <c r="C1250" s="4"/>
    </row>
    <row r="1251" spans="3:3" x14ac:dyDescent="0.25">
      <c r="C1251" s="4"/>
    </row>
    <row r="1252" spans="3:3" x14ac:dyDescent="0.25">
      <c r="C1252" s="4"/>
    </row>
    <row r="1253" spans="3:3" x14ac:dyDescent="0.25">
      <c r="C1253" s="4"/>
    </row>
    <row r="1254" spans="3:3" x14ac:dyDescent="0.25">
      <c r="C1254" s="4"/>
    </row>
    <row r="1255" spans="3:3" x14ac:dyDescent="0.25">
      <c r="C1255" s="4"/>
    </row>
    <row r="1256" spans="3:3" x14ac:dyDescent="0.25">
      <c r="C1256" s="4"/>
    </row>
    <row r="1257" spans="3:3" x14ac:dyDescent="0.25">
      <c r="C1257" s="4"/>
    </row>
    <row r="1258" spans="3:3" x14ac:dyDescent="0.25">
      <c r="C1258" s="4"/>
    </row>
    <row r="1259" spans="3:3" x14ac:dyDescent="0.25">
      <c r="C1259" s="4"/>
    </row>
    <row r="1260" spans="3:3" x14ac:dyDescent="0.25">
      <c r="C1260" s="4"/>
    </row>
    <row r="1261" spans="3:3" x14ac:dyDescent="0.25">
      <c r="C1261" s="4"/>
    </row>
    <row r="1262" spans="3:3" x14ac:dyDescent="0.25">
      <c r="C1262" s="4"/>
    </row>
    <row r="1263" spans="3:3" x14ac:dyDescent="0.25">
      <c r="C1263" s="4"/>
    </row>
    <row r="1264" spans="3:3" x14ac:dyDescent="0.25">
      <c r="C1264" s="4"/>
    </row>
    <row r="1265" spans="3:3" x14ac:dyDescent="0.25">
      <c r="C1265" s="4"/>
    </row>
    <row r="1266" spans="3:3" x14ac:dyDescent="0.25">
      <c r="C1266" s="4"/>
    </row>
    <row r="1267" spans="3:3" x14ac:dyDescent="0.25">
      <c r="C1267" s="4"/>
    </row>
    <row r="1268" spans="3:3" x14ac:dyDescent="0.25">
      <c r="C1268" s="4"/>
    </row>
    <row r="1269" spans="3:3" x14ac:dyDescent="0.25">
      <c r="C1269" s="4"/>
    </row>
    <row r="1270" spans="3:3" x14ac:dyDescent="0.25">
      <c r="C1270" s="4"/>
    </row>
    <row r="1271" spans="3:3" x14ac:dyDescent="0.25">
      <c r="C1271" s="4"/>
    </row>
    <row r="1272" spans="3:3" x14ac:dyDescent="0.25">
      <c r="C1272" s="4"/>
    </row>
    <row r="1273" spans="3:3" x14ac:dyDescent="0.25">
      <c r="C1273" s="4"/>
    </row>
    <row r="1274" spans="3:3" x14ac:dyDescent="0.25">
      <c r="C1274" s="4"/>
    </row>
    <row r="1275" spans="3:3" x14ac:dyDescent="0.25">
      <c r="C1275" s="4"/>
    </row>
    <row r="1276" spans="3:3" x14ac:dyDescent="0.25">
      <c r="C1276" s="4"/>
    </row>
    <row r="1277" spans="3:3" x14ac:dyDescent="0.25">
      <c r="C1277" s="4"/>
    </row>
    <row r="1278" spans="3:3" x14ac:dyDescent="0.25">
      <c r="C1278" s="4"/>
    </row>
    <row r="1279" spans="3:3" x14ac:dyDescent="0.25">
      <c r="C1279" s="4"/>
    </row>
    <row r="1280" spans="3:3" x14ac:dyDescent="0.25">
      <c r="C1280" s="4"/>
    </row>
    <row r="1281" spans="3:3" x14ac:dyDescent="0.25">
      <c r="C1281" s="4"/>
    </row>
    <row r="1282" spans="3:3" x14ac:dyDescent="0.25">
      <c r="C1282" s="4"/>
    </row>
    <row r="1283" spans="3:3" x14ac:dyDescent="0.25">
      <c r="C1283" s="4"/>
    </row>
    <row r="1284" spans="3:3" x14ac:dyDescent="0.25">
      <c r="C1284" s="4"/>
    </row>
    <row r="1285" spans="3:3" x14ac:dyDescent="0.25">
      <c r="C1285" s="4"/>
    </row>
    <row r="1286" spans="3:3" x14ac:dyDescent="0.25">
      <c r="C1286" s="4"/>
    </row>
    <row r="1287" spans="3:3" x14ac:dyDescent="0.25">
      <c r="C1287" s="4"/>
    </row>
    <row r="1288" spans="3:3" x14ac:dyDescent="0.25">
      <c r="C1288" s="4"/>
    </row>
    <row r="1289" spans="3:3" x14ac:dyDescent="0.25">
      <c r="C1289" s="4"/>
    </row>
    <row r="1290" spans="3:3" x14ac:dyDescent="0.25">
      <c r="C1290" s="4"/>
    </row>
    <row r="1291" spans="3:3" x14ac:dyDescent="0.25">
      <c r="C1291" s="4"/>
    </row>
    <row r="1292" spans="3:3" x14ac:dyDescent="0.25">
      <c r="C1292" s="4"/>
    </row>
    <row r="1293" spans="3:3" x14ac:dyDescent="0.25">
      <c r="C1293" s="4"/>
    </row>
    <row r="1294" spans="3:3" x14ac:dyDescent="0.25">
      <c r="C1294" s="4"/>
    </row>
    <row r="1295" spans="3:3" x14ac:dyDescent="0.25">
      <c r="C1295" s="4"/>
    </row>
    <row r="1296" spans="3:3" x14ac:dyDescent="0.25">
      <c r="C1296" s="4"/>
    </row>
    <row r="1297" spans="3:3" x14ac:dyDescent="0.25">
      <c r="C1297" s="4"/>
    </row>
    <row r="1298" spans="3:3" x14ac:dyDescent="0.25">
      <c r="C1298" s="4"/>
    </row>
    <row r="1299" spans="3:3" x14ac:dyDescent="0.25">
      <c r="C1299" s="4"/>
    </row>
    <row r="1300" spans="3:3" x14ac:dyDescent="0.25">
      <c r="C1300" s="4"/>
    </row>
    <row r="1301" spans="3:3" x14ac:dyDescent="0.25">
      <c r="C1301" s="4"/>
    </row>
    <row r="1302" spans="3:3" x14ac:dyDescent="0.25">
      <c r="C1302" s="4"/>
    </row>
    <row r="1303" spans="3:3" x14ac:dyDescent="0.25">
      <c r="C1303" s="4"/>
    </row>
    <row r="1304" spans="3:3" x14ac:dyDescent="0.25">
      <c r="C1304" s="4"/>
    </row>
    <row r="1305" spans="3:3" x14ac:dyDescent="0.25">
      <c r="C1305" s="4"/>
    </row>
    <row r="1306" spans="3:3" x14ac:dyDescent="0.25">
      <c r="C1306" s="4"/>
    </row>
    <row r="1307" spans="3:3" x14ac:dyDescent="0.25">
      <c r="C1307" s="4"/>
    </row>
    <row r="1308" spans="3:3" x14ac:dyDescent="0.25">
      <c r="C1308" s="4"/>
    </row>
    <row r="1309" spans="3:3" x14ac:dyDescent="0.25">
      <c r="C1309" s="4"/>
    </row>
    <row r="1310" spans="3:3" x14ac:dyDescent="0.25">
      <c r="C1310" s="4"/>
    </row>
    <row r="1311" spans="3:3" x14ac:dyDescent="0.25">
      <c r="C1311" s="4"/>
    </row>
    <row r="1312" spans="3:3" x14ac:dyDescent="0.25">
      <c r="C1312" s="4"/>
    </row>
    <row r="1313" spans="3:3" x14ac:dyDescent="0.25">
      <c r="C1313" s="4"/>
    </row>
    <row r="1314" spans="3:3" x14ac:dyDescent="0.25">
      <c r="C1314" s="4"/>
    </row>
    <row r="1315" spans="3:3" x14ac:dyDescent="0.25">
      <c r="C1315" s="4"/>
    </row>
    <row r="1316" spans="3:3" x14ac:dyDescent="0.25">
      <c r="C1316" s="4"/>
    </row>
    <row r="1317" spans="3:3" x14ac:dyDescent="0.25">
      <c r="C1317" s="4"/>
    </row>
    <row r="1318" spans="3:3" x14ac:dyDescent="0.25">
      <c r="C1318" s="4"/>
    </row>
    <row r="1319" spans="3:3" x14ac:dyDescent="0.25">
      <c r="C1319" s="4"/>
    </row>
    <row r="1320" spans="3:3" x14ac:dyDescent="0.25">
      <c r="C1320" s="4"/>
    </row>
    <row r="1321" spans="3:3" x14ac:dyDescent="0.25">
      <c r="C1321" s="4"/>
    </row>
    <row r="1322" spans="3:3" x14ac:dyDescent="0.25">
      <c r="C1322" s="4"/>
    </row>
    <row r="1323" spans="3:3" x14ac:dyDescent="0.25">
      <c r="C1323" s="4"/>
    </row>
    <row r="1324" spans="3:3" x14ac:dyDescent="0.25">
      <c r="C1324" s="4"/>
    </row>
    <row r="1326" spans="3:3" x14ac:dyDescent="0.25">
      <c r="C1326" s="4"/>
    </row>
    <row r="1327" spans="3:3" x14ac:dyDescent="0.25">
      <c r="C1327" s="4"/>
    </row>
    <row r="1328" spans="3:3" x14ac:dyDescent="0.25">
      <c r="C1328" s="4"/>
    </row>
    <row r="1329" spans="3:3" x14ac:dyDescent="0.25">
      <c r="C1329" s="4"/>
    </row>
    <row r="1330" spans="3:3" x14ac:dyDescent="0.25">
      <c r="C1330" s="4"/>
    </row>
    <row r="1331" spans="3:3" x14ac:dyDescent="0.25">
      <c r="C1331" s="4"/>
    </row>
    <row r="1332" spans="3:3" x14ac:dyDescent="0.25">
      <c r="C1332" s="4"/>
    </row>
    <row r="1333" spans="3:3" x14ac:dyDescent="0.25">
      <c r="C1333" s="4"/>
    </row>
    <row r="1334" spans="3:3" x14ac:dyDescent="0.25">
      <c r="C1334" s="4"/>
    </row>
    <row r="1335" spans="3:3" x14ac:dyDescent="0.25">
      <c r="C1335" s="4"/>
    </row>
    <row r="1336" spans="3:3" x14ac:dyDescent="0.25">
      <c r="C1336" s="4"/>
    </row>
    <row r="1337" spans="3:3" x14ac:dyDescent="0.25">
      <c r="C1337" s="4"/>
    </row>
    <row r="1338" spans="3:3" x14ac:dyDescent="0.25">
      <c r="C1338" s="4"/>
    </row>
    <row r="1339" spans="3:3" x14ac:dyDescent="0.25">
      <c r="C1339" s="4"/>
    </row>
    <row r="1340" spans="3:3" x14ac:dyDescent="0.25">
      <c r="C1340" s="4"/>
    </row>
    <row r="1341" spans="3:3" x14ac:dyDescent="0.25">
      <c r="C1341" s="4"/>
    </row>
    <row r="1342" spans="3:3" x14ac:dyDescent="0.25">
      <c r="C1342" s="4"/>
    </row>
    <row r="1343" spans="3:3" x14ac:dyDescent="0.25">
      <c r="C1343" s="4"/>
    </row>
    <row r="1344" spans="3:3" x14ac:dyDescent="0.25">
      <c r="C1344" s="4"/>
    </row>
    <row r="1345" spans="3:3" x14ac:dyDescent="0.25">
      <c r="C1345" s="4"/>
    </row>
    <row r="1346" spans="3:3" x14ac:dyDescent="0.25">
      <c r="C1346" s="4"/>
    </row>
    <row r="1347" spans="3:3" x14ac:dyDescent="0.25">
      <c r="C1347" s="4"/>
    </row>
    <row r="1348" spans="3:3" x14ac:dyDescent="0.25">
      <c r="C1348" s="4"/>
    </row>
    <row r="1349" spans="3:3" x14ac:dyDescent="0.25">
      <c r="C1349" s="4"/>
    </row>
    <row r="1350" spans="3:3" x14ac:dyDescent="0.25">
      <c r="C1350" s="4"/>
    </row>
    <row r="1351" spans="3:3" x14ac:dyDescent="0.25">
      <c r="C1351" s="4"/>
    </row>
    <row r="1352" spans="3:3" x14ac:dyDescent="0.25">
      <c r="C1352" s="4"/>
    </row>
    <row r="1353" spans="3:3" x14ac:dyDescent="0.25">
      <c r="C1353" s="4"/>
    </row>
    <row r="1354" spans="3:3" x14ac:dyDescent="0.25">
      <c r="C1354" s="4"/>
    </row>
    <row r="1355" spans="3:3" x14ac:dyDescent="0.25">
      <c r="C1355" s="4"/>
    </row>
    <row r="1356" spans="3:3" x14ac:dyDescent="0.25">
      <c r="C1356" s="4"/>
    </row>
    <row r="1357" spans="3:3" x14ac:dyDescent="0.25">
      <c r="C1357" s="4"/>
    </row>
    <row r="1358" spans="3:3" x14ac:dyDescent="0.25">
      <c r="C1358" s="4"/>
    </row>
    <row r="1359" spans="3:3" x14ac:dyDescent="0.25">
      <c r="C1359" s="4"/>
    </row>
    <row r="1360" spans="3:3" x14ac:dyDescent="0.25">
      <c r="C1360" s="4"/>
    </row>
    <row r="1361" spans="3:3" x14ac:dyDescent="0.25">
      <c r="C1361" s="4"/>
    </row>
    <row r="1362" spans="3:3" x14ac:dyDescent="0.25">
      <c r="C1362" s="4"/>
    </row>
    <row r="1363" spans="3:3" x14ac:dyDescent="0.25">
      <c r="C1363" s="4"/>
    </row>
    <row r="1364" spans="3:3" x14ac:dyDescent="0.25">
      <c r="C1364" s="4"/>
    </row>
    <row r="1365" spans="3:3" x14ac:dyDescent="0.25">
      <c r="C1365" s="4"/>
    </row>
    <row r="1366" spans="3:3" x14ac:dyDescent="0.25">
      <c r="C1366" s="4"/>
    </row>
    <row r="1367" spans="3:3" x14ac:dyDescent="0.25">
      <c r="C1367" s="4"/>
    </row>
    <row r="1368" spans="3:3" x14ac:dyDescent="0.25">
      <c r="C1368" s="4"/>
    </row>
    <row r="1369" spans="3:3" x14ac:dyDescent="0.25">
      <c r="C1369" s="4"/>
    </row>
    <row r="1370" spans="3:3" x14ac:dyDescent="0.25">
      <c r="C1370" s="4"/>
    </row>
    <row r="1371" spans="3:3" x14ac:dyDescent="0.25">
      <c r="C1371" s="4"/>
    </row>
    <row r="1372" spans="3:3" x14ac:dyDescent="0.25">
      <c r="C1372" s="4"/>
    </row>
    <row r="1373" spans="3:3" x14ac:dyDescent="0.25">
      <c r="C1373" s="4"/>
    </row>
    <row r="1374" spans="3:3" x14ac:dyDescent="0.25">
      <c r="C1374" s="4"/>
    </row>
    <row r="1375" spans="3:3" x14ac:dyDescent="0.25">
      <c r="C1375" s="4"/>
    </row>
    <row r="1376" spans="3:3" x14ac:dyDescent="0.25">
      <c r="C1376" s="4"/>
    </row>
    <row r="1377" spans="3:3" x14ac:dyDescent="0.25">
      <c r="C1377" s="4"/>
    </row>
    <row r="1378" spans="3:3" x14ac:dyDescent="0.25">
      <c r="C1378" s="4"/>
    </row>
    <row r="1379" spans="3:3" x14ac:dyDescent="0.25">
      <c r="C1379" s="4"/>
    </row>
    <row r="1380" spans="3:3" x14ac:dyDescent="0.25">
      <c r="C1380" s="4"/>
    </row>
    <row r="1381" spans="3:3" x14ac:dyDescent="0.25">
      <c r="C1381" s="4"/>
    </row>
    <row r="1382" spans="3:3" x14ac:dyDescent="0.25">
      <c r="C1382" s="4"/>
    </row>
    <row r="1383" spans="3:3" x14ac:dyDescent="0.25">
      <c r="C1383" s="4"/>
    </row>
    <row r="1384" spans="3:3" x14ac:dyDescent="0.25">
      <c r="C1384" s="4"/>
    </row>
    <row r="1385" spans="3:3" x14ac:dyDescent="0.25">
      <c r="C1385" s="4"/>
    </row>
    <row r="1386" spans="3:3" x14ac:dyDescent="0.25">
      <c r="C1386" s="4"/>
    </row>
    <row r="1387" spans="3:3" x14ac:dyDescent="0.25">
      <c r="C1387" s="4"/>
    </row>
    <row r="1388" spans="3:3" x14ac:dyDescent="0.25">
      <c r="C1388" s="4"/>
    </row>
    <row r="1389" spans="3:3" x14ac:dyDescent="0.25">
      <c r="C1389" s="4"/>
    </row>
    <row r="1390" spans="3:3" x14ac:dyDescent="0.25">
      <c r="C1390" s="4"/>
    </row>
    <row r="1391" spans="3:3" x14ac:dyDescent="0.25">
      <c r="C1391" s="4"/>
    </row>
    <row r="1392" spans="3:3" x14ac:dyDescent="0.25">
      <c r="C1392" s="4"/>
    </row>
    <row r="1393" spans="3:3" x14ac:dyDescent="0.25">
      <c r="C1393" s="4"/>
    </row>
    <row r="1394" spans="3:3" x14ac:dyDescent="0.25">
      <c r="C1394" s="4"/>
    </row>
    <row r="1395" spans="3:3" x14ac:dyDescent="0.25">
      <c r="C1395" s="4"/>
    </row>
    <row r="1396" spans="3:3" x14ac:dyDescent="0.25">
      <c r="C1396" s="4"/>
    </row>
    <row r="1397" spans="3:3" x14ac:dyDescent="0.25">
      <c r="C1397" s="4"/>
    </row>
    <row r="1398" spans="3:3" x14ac:dyDescent="0.25">
      <c r="C1398" s="4"/>
    </row>
    <row r="1399" spans="3:3" x14ac:dyDescent="0.25">
      <c r="C1399" s="4"/>
    </row>
    <row r="1400" spans="3:3" x14ac:dyDescent="0.25">
      <c r="C1400" s="4"/>
    </row>
    <row r="1401" spans="3:3" x14ac:dyDescent="0.25">
      <c r="C1401" s="4"/>
    </row>
    <row r="1402" spans="3:3" x14ac:dyDescent="0.25">
      <c r="C1402" s="4"/>
    </row>
    <row r="1403" spans="3:3" x14ac:dyDescent="0.25">
      <c r="C1403" s="4"/>
    </row>
    <row r="1404" spans="3:3" x14ac:dyDescent="0.25">
      <c r="C1404" s="4"/>
    </row>
    <row r="1405" spans="3:3" x14ac:dyDescent="0.25">
      <c r="C1405" s="4"/>
    </row>
    <row r="1406" spans="3:3" x14ac:dyDescent="0.25">
      <c r="C1406" s="4"/>
    </row>
    <row r="1407" spans="3:3" x14ac:dyDescent="0.25">
      <c r="C1407" s="4"/>
    </row>
    <row r="1408" spans="3:3" x14ac:dyDescent="0.25">
      <c r="C1408" s="4"/>
    </row>
    <row r="1409" spans="3:3" x14ac:dyDescent="0.25">
      <c r="C1409" s="4"/>
    </row>
    <row r="1410" spans="3:3" x14ac:dyDescent="0.25">
      <c r="C1410" s="4"/>
    </row>
    <row r="1411" spans="3:3" x14ac:dyDescent="0.25">
      <c r="C1411" s="4"/>
    </row>
    <row r="1412" spans="3:3" x14ac:dyDescent="0.25">
      <c r="C1412" s="4"/>
    </row>
    <row r="1413" spans="3:3" x14ac:dyDescent="0.25">
      <c r="C1413" s="4"/>
    </row>
    <row r="1414" spans="3:3" x14ac:dyDescent="0.25">
      <c r="C1414" s="4"/>
    </row>
    <row r="1415" spans="3:3" x14ac:dyDescent="0.25">
      <c r="C1415" s="4"/>
    </row>
    <row r="1416" spans="3:3" x14ac:dyDescent="0.25">
      <c r="C1416" s="4"/>
    </row>
    <row r="1417" spans="3:3" x14ac:dyDescent="0.25">
      <c r="C1417" s="4"/>
    </row>
    <row r="1418" spans="3:3" x14ac:dyDescent="0.25">
      <c r="C1418" s="4"/>
    </row>
    <row r="1419" spans="3:3" x14ac:dyDescent="0.25">
      <c r="C1419" s="4"/>
    </row>
    <row r="1420" spans="3:3" x14ac:dyDescent="0.25">
      <c r="C1420" s="4"/>
    </row>
    <row r="1421" spans="3:3" x14ac:dyDescent="0.25">
      <c r="C1421" s="4"/>
    </row>
    <row r="1422" spans="3:3" x14ac:dyDescent="0.25">
      <c r="C1422" s="4"/>
    </row>
    <row r="1423" spans="3:3" x14ac:dyDescent="0.25">
      <c r="C1423" s="4"/>
    </row>
    <row r="1424" spans="3:3" x14ac:dyDescent="0.25">
      <c r="C1424" s="4"/>
    </row>
    <row r="1425" spans="3:3" x14ac:dyDescent="0.25">
      <c r="C1425" s="4"/>
    </row>
    <row r="1426" spans="3:3" x14ac:dyDescent="0.25">
      <c r="C1426" s="4"/>
    </row>
    <row r="1427" spans="3:3" x14ac:dyDescent="0.25">
      <c r="C1427" s="4"/>
    </row>
    <row r="1428" spans="3:3" x14ac:dyDescent="0.25">
      <c r="C1428" s="4"/>
    </row>
    <row r="1429" spans="3:3" x14ac:dyDescent="0.25">
      <c r="C1429" s="4"/>
    </row>
    <row r="1430" spans="3:3" x14ac:dyDescent="0.25">
      <c r="C1430" s="4"/>
    </row>
    <row r="1431" spans="3:3" x14ac:dyDescent="0.25">
      <c r="C1431" s="4"/>
    </row>
    <row r="1432" spans="3:3" x14ac:dyDescent="0.25">
      <c r="C1432" s="4"/>
    </row>
    <row r="1433" spans="3:3" x14ac:dyDescent="0.25">
      <c r="C1433" s="4"/>
    </row>
    <row r="1434" spans="3:3" x14ac:dyDescent="0.25">
      <c r="C1434" s="4"/>
    </row>
    <row r="1435" spans="3:3" x14ac:dyDescent="0.25">
      <c r="C1435" s="4"/>
    </row>
    <row r="1436" spans="3:3" x14ac:dyDescent="0.25">
      <c r="C1436" s="4"/>
    </row>
    <row r="1437" spans="3:3" x14ac:dyDescent="0.25">
      <c r="C1437" s="4"/>
    </row>
    <row r="1438" spans="3:3" x14ac:dyDescent="0.25">
      <c r="C1438" s="4"/>
    </row>
    <row r="1439" spans="3:3" x14ac:dyDescent="0.25">
      <c r="C1439" s="4"/>
    </row>
    <row r="1440" spans="3:3" x14ac:dyDescent="0.25">
      <c r="C1440" s="4"/>
    </row>
    <row r="1441" spans="3:3" x14ac:dyDescent="0.25">
      <c r="C1441" s="4"/>
    </row>
    <row r="1442" spans="3:3" x14ac:dyDescent="0.25">
      <c r="C1442" s="4"/>
    </row>
    <row r="1443" spans="3:3" x14ac:dyDescent="0.25">
      <c r="C1443" s="4"/>
    </row>
    <row r="1444" spans="3:3" x14ac:dyDescent="0.25">
      <c r="C1444" s="4"/>
    </row>
    <row r="1445" spans="3:3" x14ac:dyDescent="0.25">
      <c r="C1445" s="4"/>
    </row>
    <row r="1446" spans="3:3" x14ac:dyDescent="0.25">
      <c r="C1446" s="4"/>
    </row>
    <row r="1447" spans="3:3" x14ac:dyDescent="0.25">
      <c r="C1447" s="4"/>
    </row>
    <row r="1448" spans="3:3" x14ac:dyDescent="0.25">
      <c r="C1448" s="4"/>
    </row>
    <row r="1449" spans="3:3" x14ac:dyDescent="0.25">
      <c r="C1449" s="4"/>
    </row>
    <row r="1450" spans="3:3" x14ac:dyDescent="0.25">
      <c r="C1450" s="4"/>
    </row>
    <row r="1451" spans="3:3" x14ac:dyDescent="0.25">
      <c r="C1451" s="4"/>
    </row>
    <row r="1452" spans="3:3" x14ac:dyDescent="0.25">
      <c r="C1452" s="4"/>
    </row>
    <row r="1453" spans="3:3" x14ac:dyDescent="0.25">
      <c r="C1453" s="4"/>
    </row>
    <row r="1454" spans="3:3" x14ac:dyDescent="0.25">
      <c r="C1454" s="4"/>
    </row>
    <row r="1455" spans="3:3" x14ac:dyDescent="0.25">
      <c r="C1455" s="4"/>
    </row>
    <row r="1456" spans="3:3" x14ac:dyDescent="0.25">
      <c r="C1456" s="4"/>
    </row>
    <row r="1457" spans="3:3" x14ac:dyDescent="0.25">
      <c r="C1457" s="4"/>
    </row>
    <row r="1458" spans="3:3" x14ac:dyDescent="0.25">
      <c r="C1458" s="4"/>
    </row>
    <row r="1459" spans="3:3" x14ac:dyDescent="0.25">
      <c r="C1459" s="4"/>
    </row>
    <row r="1460" spans="3:3" x14ac:dyDescent="0.25">
      <c r="C1460" s="4"/>
    </row>
    <row r="1461" spans="3:3" x14ac:dyDescent="0.25">
      <c r="C1461" s="4"/>
    </row>
    <row r="1462" spans="3:3" x14ac:dyDescent="0.25">
      <c r="C1462" s="4"/>
    </row>
    <row r="1463" spans="3:3" x14ac:dyDescent="0.25">
      <c r="C1463" s="4"/>
    </row>
    <row r="1464" spans="3:3" x14ac:dyDescent="0.25">
      <c r="C1464" s="4"/>
    </row>
    <row r="1465" spans="3:3" x14ac:dyDescent="0.25">
      <c r="C1465" s="4"/>
    </row>
    <row r="1466" spans="3:3" x14ac:dyDescent="0.25">
      <c r="C1466" s="4"/>
    </row>
    <row r="1467" spans="3:3" x14ac:dyDescent="0.25">
      <c r="C1467" s="4"/>
    </row>
    <row r="1468" spans="3:3" x14ac:dyDescent="0.25">
      <c r="C1468" s="4"/>
    </row>
    <row r="1469" spans="3:3" x14ac:dyDescent="0.25">
      <c r="C1469" s="4"/>
    </row>
    <row r="1470" spans="3:3" x14ac:dyDescent="0.25">
      <c r="C1470" s="4"/>
    </row>
    <row r="1471" spans="3:3" x14ac:dyDescent="0.25">
      <c r="C1471" s="4"/>
    </row>
    <row r="1472" spans="3:3" x14ac:dyDescent="0.25">
      <c r="C1472" s="4"/>
    </row>
    <row r="1473" spans="3:3" x14ac:dyDescent="0.25">
      <c r="C1473" s="4"/>
    </row>
    <row r="1474" spans="3:3" x14ac:dyDescent="0.25">
      <c r="C1474" s="4"/>
    </row>
    <row r="1475" spans="3:3" x14ac:dyDescent="0.25">
      <c r="C1475" s="4"/>
    </row>
    <row r="1476" spans="3:3" x14ac:dyDescent="0.25">
      <c r="C1476" s="4"/>
    </row>
    <row r="1477" spans="3:3" x14ac:dyDescent="0.25">
      <c r="C1477" s="4"/>
    </row>
    <row r="1478" spans="3:3" x14ac:dyDescent="0.25">
      <c r="C1478" s="4"/>
    </row>
    <row r="1479" spans="3:3" x14ac:dyDescent="0.25">
      <c r="C1479" s="4"/>
    </row>
    <row r="1480" spans="3:3" x14ac:dyDescent="0.25">
      <c r="C1480" s="4"/>
    </row>
    <row r="1481" spans="3:3" x14ac:dyDescent="0.25">
      <c r="C1481" s="4"/>
    </row>
    <row r="1482" spans="3:3" x14ac:dyDescent="0.25">
      <c r="C1482" s="4"/>
    </row>
    <row r="1483" spans="3:3" x14ac:dyDescent="0.25">
      <c r="C1483" s="4"/>
    </row>
    <row r="1484" spans="3:3" x14ac:dyDescent="0.25">
      <c r="C1484" s="4"/>
    </row>
    <row r="1485" spans="3:3" x14ac:dyDescent="0.25">
      <c r="C1485" s="4"/>
    </row>
    <row r="1486" spans="3:3" x14ac:dyDescent="0.25">
      <c r="C1486" s="4"/>
    </row>
    <row r="1487" spans="3:3" x14ac:dyDescent="0.25">
      <c r="C1487" s="4"/>
    </row>
    <row r="1488" spans="3:3" x14ac:dyDescent="0.25">
      <c r="C1488" s="4"/>
    </row>
    <row r="1489" spans="3:3" x14ac:dyDescent="0.25">
      <c r="C1489" s="4"/>
    </row>
    <row r="1490" spans="3:3" x14ac:dyDescent="0.25">
      <c r="C1490" s="4"/>
    </row>
    <row r="1491" spans="3:3" x14ac:dyDescent="0.25">
      <c r="C1491" s="4"/>
    </row>
    <row r="1492" spans="3:3" x14ac:dyDescent="0.25">
      <c r="C1492" s="4"/>
    </row>
    <row r="1493" spans="3:3" x14ac:dyDescent="0.25">
      <c r="C1493" s="4"/>
    </row>
    <row r="1494" spans="3:3" x14ac:dyDescent="0.25">
      <c r="C1494" s="4"/>
    </row>
    <row r="1495" spans="3:3" x14ac:dyDescent="0.25">
      <c r="C1495" s="4"/>
    </row>
    <row r="1496" spans="3:3" x14ac:dyDescent="0.25">
      <c r="C1496" s="4"/>
    </row>
    <row r="1497" spans="3:3" x14ac:dyDescent="0.25">
      <c r="C1497" s="4"/>
    </row>
    <row r="1498" spans="3:3" x14ac:dyDescent="0.25">
      <c r="C1498" s="4"/>
    </row>
    <row r="1499" spans="3:3" x14ac:dyDescent="0.25">
      <c r="C1499" s="4"/>
    </row>
    <row r="1500" spans="3:3" x14ac:dyDescent="0.25">
      <c r="C1500" s="4"/>
    </row>
    <row r="1501" spans="3:3" x14ac:dyDescent="0.25">
      <c r="C1501" s="4"/>
    </row>
    <row r="1502" spans="3:3" x14ac:dyDescent="0.25">
      <c r="C1502" s="4"/>
    </row>
    <row r="1503" spans="3:3" x14ac:dyDescent="0.25">
      <c r="C1503" s="4"/>
    </row>
    <row r="1504" spans="3:3" x14ac:dyDescent="0.25">
      <c r="C1504" s="4"/>
    </row>
    <row r="1505" spans="3:3" x14ac:dyDescent="0.25">
      <c r="C1505" s="4"/>
    </row>
    <row r="1506" spans="3:3" x14ac:dyDescent="0.25">
      <c r="C1506" s="4"/>
    </row>
    <row r="1507" spans="3:3" x14ac:dyDescent="0.25">
      <c r="C1507" s="4"/>
    </row>
    <row r="1508" spans="3:3" x14ac:dyDescent="0.25">
      <c r="C1508" s="4"/>
    </row>
    <row r="1509" spans="3:3" x14ac:dyDescent="0.25">
      <c r="C1509" s="4"/>
    </row>
    <row r="1510" spans="3:3" x14ac:dyDescent="0.25">
      <c r="C1510" s="4"/>
    </row>
    <row r="1511" spans="3:3" x14ac:dyDescent="0.25">
      <c r="C1511" s="4"/>
    </row>
    <row r="1512" spans="3:3" x14ac:dyDescent="0.25">
      <c r="C1512" s="4"/>
    </row>
    <row r="1513" spans="3:3" x14ac:dyDescent="0.25">
      <c r="C1513" s="4"/>
    </row>
    <row r="1514" spans="3:3" x14ac:dyDescent="0.25">
      <c r="C1514" s="4"/>
    </row>
    <row r="1515" spans="3:3" x14ac:dyDescent="0.25">
      <c r="C1515" s="4"/>
    </row>
    <row r="1516" spans="3:3" x14ac:dyDescent="0.25">
      <c r="C1516" s="4"/>
    </row>
    <row r="1517" spans="3:3" x14ac:dyDescent="0.25">
      <c r="C1517" s="4"/>
    </row>
    <row r="1518" spans="3:3" x14ac:dyDescent="0.25">
      <c r="C1518" s="4"/>
    </row>
    <row r="1519" spans="3:3" x14ac:dyDescent="0.25">
      <c r="C1519" s="4"/>
    </row>
    <row r="1520" spans="3:3" x14ac:dyDescent="0.25">
      <c r="C1520" s="4"/>
    </row>
    <row r="1521" spans="3:3" x14ac:dyDescent="0.25">
      <c r="C1521" s="4"/>
    </row>
    <row r="1522" spans="3:3" x14ac:dyDescent="0.25">
      <c r="C1522" s="4"/>
    </row>
    <row r="1523" spans="3:3" x14ac:dyDescent="0.25">
      <c r="C1523" s="4"/>
    </row>
    <row r="1524" spans="3:3" x14ac:dyDescent="0.25">
      <c r="C1524" s="4"/>
    </row>
    <row r="1525" spans="3:3" x14ac:dyDescent="0.25">
      <c r="C1525" s="4"/>
    </row>
    <row r="1526" spans="3:3" x14ac:dyDescent="0.25">
      <c r="C1526" s="4"/>
    </row>
    <row r="1527" spans="3:3" x14ac:dyDescent="0.25">
      <c r="C1527" s="4"/>
    </row>
    <row r="1528" spans="3:3" x14ac:dyDescent="0.25">
      <c r="C1528" s="4"/>
    </row>
    <row r="1529" spans="3:3" x14ac:dyDescent="0.25">
      <c r="C1529" s="4"/>
    </row>
    <row r="1530" spans="3:3" x14ac:dyDescent="0.25">
      <c r="C1530" s="4"/>
    </row>
    <row r="1531" spans="3:3" x14ac:dyDescent="0.25">
      <c r="C1531" s="4"/>
    </row>
    <row r="1532" spans="3:3" x14ac:dyDescent="0.25">
      <c r="C1532" s="4"/>
    </row>
    <row r="1533" spans="3:3" x14ac:dyDescent="0.25">
      <c r="C1533" s="4"/>
    </row>
    <row r="1534" spans="3:3" x14ac:dyDescent="0.25">
      <c r="C1534" s="4"/>
    </row>
    <row r="1535" spans="3:3" x14ac:dyDescent="0.25">
      <c r="C1535" s="4"/>
    </row>
    <row r="1536" spans="3:3" x14ac:dyDescent="0.25">
      <c r="C1536" s="4"/>
    </row>
    <row r="1537" spans="3:3" x14ac:dyDescent="0.25">
      <c r="C1537" s="4"/>
    </row>
    <row r="1538" spans="3:3" x14ac:dyDescent="0.25">
      <c r="C1538" s="4"/>
    </row>
    <row r="1539" spans="3:3" x14ac:dyDescent="0.25">
      <c r="C1539" s="4"/>
    </row>
    <row r="1540" spans="3:3" x14ac:dyDescent="0.25">
      <c r="C1540" s="4"/>
    </row>
    <row r="1541" spans="3:3" x14ac:dyDescent="0.25">
      <c r="C1541" s="4"/>
    </row>
    <row r="1542" spans="3:3" x14ac:dyDescent="0.25">
      <c r="C1542" s="4"/>
    </row>
    <row r="1543" spans="3:3" x14ac:dyDescent="0.25">
      <c r="C1543" s="4"/>
    </row>
    <row r="1544" spans="3:3" x14ac:dyDescent="0.25">
      <c r="C1544" s="4"/>
    </row>
    <row r="1545" spans="3:3" x14ac:dyDescent="0.25">
      <c r="C1545" s="4"/>
    </row>
    <row r="1546" spans="3:3" x14ac:dyDescent="0.25">
      <c r="C1546" s="4"/>
    </row>
    <row r="1547" spans="3:3" x14ac:dyDescent="0.25">
      <c r="C1547" s="4"/>
    </row>
    <row r="1548" spans="3:3" x14ac:dyDescent="0.25">
      <c r="C1548" s="4"/>
    </row>
    <row r="1549" spans="3:3" x14ac:dyDescent="0.25">
      <c r="C1549" s="4"/>
    </row>
    <row r="1550" spans="3:3" x14ac:dyDescent="0.25">
      <c r="C1550" s="4"/>
    </row>
    <row r="1551" spans="3:3" x14ac:dyDescent="0.25">
      <c r="C1551" s="4"/>
    </row>
    <row r="1552" spans="3:3" x14ac:dyDescent="0.25">
      <c r="C1552" s="4"/>
    </row>
    <row r="1553" spans="3:3" x14ac:dyDescent="0.25">
      <c r="C1553" s="4"/>
    </row>
    <row r="1554" spans="3:3" x14ac:dyDescent="0.25">
      <c r="C1554" s="4"/>
    </row>
    <row r="1555" spans="3:3" x14ac:dyDescent="0.25">
      <c r="C1555" s="4"/>
    </row>
    <row r="1556" spans="3:3" x14ac:dyDescent="0.25">
      <c r="C1556" s="4"/>
    </row>
    <row r="1557" spans="3:3" x14ac:dyDescent="0.25">
      <c r="C1557" s="4"/>
    </row>
    <row r="1558" spans="3:3" x14ac:dyDescent="0.25">
      <c r="C1558" s="4"/>
    </row>
    <row r="1559" spans="3:3" x14ac:dyDescent="0.25">
      <c r="C1559" s="4"/>
    </row>
    <row r="1560" spans="3:3" x14ac:dyDescent="0.25">
      <c r="C1560" s="4"/>
    </row>
    <row r="1561" spans="3:3" x14ac:dyDescent="0.25">
      <c r="C1561" s="4"/>
    </row>
    <row r="1562" spans="3:3" x14ac:dyDescent="0.25">
      <c r="C1562" s="4"/>
    </row>
    <row r="1563" spans="3:3" x14ac:dyDescent="0.25">
      <c r="C1563" s="4"/>
    </row>
    <row r="1564" spans="3:3" x14ac:dyDescent="0.25">
      <c r="C1564" s="4"/>
    </row>
    <row r="1565" spans="3:3" x14ac:dyDescent="0.25">
      <c r="C1565" s="4"/>
    </row>
    <row r="1566" spans="3:3" x14ac:dyDescent="0.25">
      <c r="C1566" s="4"/>
    </row>
    <row r="1567" spans="3:3" x14ac:dyDescent="0.25">
      <c r="C1567" s="4"/>
    </row>
    <row r="1568" spans="3:3" x14ac:dyDescent="0.25">
      <c r="C1568" s="4"/>
    </row>
    <row r="1569" spans="3:3" x14ac:dyDescent="0.25">
      <c r="C1569" s="4"/>
    </row>
    <row r="1570" spans="3:3" x14ac:dyDescent="0.25">
      <c r="C1570" s="4"/>
    </row>
    <row r="1571" spans="3:3" x14ac:dyDescent="0.25">
      <c r="C1571" s="4"/>
    </row>
    <row r="1572" spans="3:3" x14ac:dyDescent="0.25">
      <c r="C1572" s="4"/>
    </row>
    <row r="1573" spans="3:3" x14ac:dyDescent="0.25">
      <c r="C1573" s="4"/>
    </row>
    <row r="1574" spans="3:3" x14ac:dyDescent="0.25">
      <c r="C1574" s="4"/>
    </row>
    <row r="1575" spans="3:3" x14ac:dyDescent="0.25">
      <c r="C1575" s="4"/>
    </row>
    <row r="1576" spans="3:3" x14ac:dyDescent="0.25">
      <c r="C1576" s="4"/>
    </row>
    <row r="1577" spans="3:3" x14ac:dyDescent="0.25">
      <c r="C1577" s="4"/>
    </row>
    <row r="1578" spans="3:3" x14ac:dyDescent="0.25">
      <c r="C1578" s="4"/>
    </row>
    <row r="1579" spans="3:3" x14ac:dyDescent="0.25">
      <c r="C1579" s="4"/>
    </row>
    <row r="1580" spans="3:3" x14ac:dyDescent="0.25">
      <c r="C1580" s="4"/>
    </row>
    <row r="1581" spans="3:3" x14ac:dyDescent="0.25">
      <c r="C1581" s="4"/>
    </row>
    <row r="1582" spans="3:3" x14ac:dyDescent="0.25">
      <c r="C1582" s="4"/>
    </row>
    <row r="1583" spans="3:3" x14ac:dyDescent="0.25">
      <c r="C1583" s="4"/>
    </row>
    <row r="1584" spans="3:3" x14ac:dyDescent="0.25">
      <c r="C1584" s="4"/>
    </row>
    <row r="1585" spans="3:3" x14ac:dyDescent="0.25">
      <c r="C1585" s="4"/>
    </row>
    <row r="1586" spans="3:3" x14ac:dyDescent="0.25">
      <c r="C1586" s="4"/>
    </row>
    <row r="1587" spans="3:3" x14ac:dyDescent="0.25">
      <c r="C1587" s="4"/>
    </row>
    <row r="1588" spans="3:3" x14ac:dyDescent="0.25">
      <c r="C1588" s="4"/>
    </row>
    <row r="1589" spans="3:3" x14ac:dyDescent="0.25">
      <c r="C1589" s="4"/>
    </row>
    <row r="1590" spans="3:3" x14ac:dyDescent="0.25">
      <c r="C1590" s="4"/>
    </row>
    <row r="1591" spans="3:3" x14ac:dyDescent="0.25">
      <c r="C1591" s="4"/>
    </row>
    <row r="1592" spans="3:3" x14ac:dyDescent="0.25">
      <c r="C1592" s="4"/>
    </row>
    <row r="1593" spans="3:3" x14ac:dyDescent="0.25">
      <c r="C1593" s="4"/>
    </row>
    <row r="1594" spans="3:3" x14ac:dyDescent="0.25">
      <c r="C1594" s="4"/>
    </row>
    <row r="1595" spans="3:3" x14ac:dyDescent="0.25">
      <c r="C1595" s="4"/>
    </row>
    <row r="1596" spans="3:3" x14ac:dyDescent="0.25">
      <c r="C1596" s="4"/>
    </row>
    <row r="1597" spans="3:3" x14ac:dyDescent="0.25">
      <c r="C1597" s="4"/>
    </row>
    <row r="1598" spans="3:3" x14ac:dyDescent="0.25">
      <c r="C1598" s="4"/>
    </row>
    <row r="1599" spans="3:3" x14ac:dyDescent="0.25">
      <c r="C1599" s="4"/>
    </row>
    <row r="1600" spans="3:3" x14ac:dyDescent="0.25">
      <c r="C1600" s="4"/>
    </row>
    <row r="1601" spans="3:3" x14ac:dyDescent="0.25">
      <c r="C1601" s="4"/>
    </row>
    <row r="1602" spans="3:3" x14ac:dyDescent="0.25">
      <c r="C1602" s="4"/>
    </row>
    <row r="1603" spans="3:3" x14ac:dyDescent="0.25">
      <c r="C1603" s="4"/>
    </row>
    <row r="1604" spans="3:3" x14ac:dyDescent="0.25">
      <c r="C1604" s="4"/>
    </row>
    <row r="1605" spans="3:3" x14ac:dyDescent="0.25">
      <c r="C1605" s="4"/>
    </row>
    <row r="1606" spans="3:3" x14ac:dyDescent="0.25">
      <c r="C1606" s="4"/>
    </row>
    <row r="1607" spans="3:3" x14ac:dyDescent="0.25">
      <c r="C1607" s="4"/>
    </row>
    <row r="1608" spans="3:3" x14ac:dyDescent="0.25">
      <c r="C1608" s="4"/>
    </row>
    <row r="1609" spans="3:3" x14ac:dyDescent="0.25">
      <c r="C1609" s="4"/>
    </row>
    <row r="1610" spans="3:3" x14ac:dyDescent="0.25">
      <c r="C1610" s="4"/>
    </row>
    <row r="1611" spans="3:3" x14ac:dyDescent="0.25">
      <c r="C1611" s="4"/>
    </row>
    <row r="1612" spans="3:3" x14ac:dyDescent="0.25">
      <c r="C1612" s="4"/>
    </row>
    <row r="1613" spans="3:3" x14ac:dyDescent="0.25">
      <c r="C1613" s="4"/>
    </row>
    <row r="1614" spans="3:3" x14ac:dyDescent="0.25">
      <c r="C1614" s="4"/>
    </row>
    <row r="1615" spans="3:3" x14ac:dyDescent="0.25">
      <c r="C1615" s="4"/>
    </row>
    <row r="1616" spans="3:3" x14ac:dyDescent="0.25">
      <c r="C1616" s="4"/>
    </row>
    <row r="1617" spans="3:3" x14ac:dyDescent="0.25">
      <c r="C1617" s="4"/>
    </row>
    <row r="1618" spans="3:3" x14ac:dyDescent="0.25">
      <c r="C1618" s="4"/>
    </row>
    <row r="1619" spans="3:3" x14ac:dyDescent="0.25">
      <c r="C1619" s="4"/>
    </row>
    <row r="1620" spans="3:3" x14ac:dyDescent="0.25">
      <c r="C1620" s="4"/>
    </row>
    <row r="1621" spans="3:3" x14ac:dyDescent="0.25">
      <c r="C1621" s="4"/>
    </row>
    <row r="1622" spans="3:3" x14ac:dyDescent="0.25">
      <c r="C1622" s="4"/>
    </row>
    <row r="1623" spans="3:3" x14ac:dyDescent="0.25">
      <c r="C1623" s="4"/>
    </row>
    <row r="1624" spans="3:3" x14ac:dyDescent="0.25">
      <c r="C1624" s="4"/>
    </row>
    <row r="1625" spans="3:3" x14ac:dyDescent="0.25">
      <c r="C1625" s="4"/>
    </row>
    <row r="1626" spans="3:3" x14ac:dyDescent="0.25">
      <c r="C1626" s="4"/>
    </row>
    <row r="1627" spans="3:3" x14ac:dyDescent="0.25">
      <c r="C1627" s="4"/>
    </row>
    <row r="1628" spans="3:3" x14ac:dyDescent="0.25">
      <c r="C1628" s="4"/>
    </row>
    <row r="1629" spans="3:3" x14ac:dyDescent="0.25">
      <c r="C1629" s="4"/>
    </row>
    <row r="1630" spans="3:3" x14ac:dyDescent="0.25">
      <c r="C1630" s="4"/>
    </row>
    <row r="1631" spans="3:3" x14ac:dyDescent="0.25">
      <c r="C1631" s="4"/>
    </row>
    <row r="1632" spans="3:3" x14ac:dyDescent="0.25">
      <c r="C1632" s="4"/>
    </row>
    <row r="1633" spans="3:3" x14ac:dyDescent="0.25">
      <c r="C1633" s="4"/>
    </row>
    <row r="1634" spans="3:3" x14ac:dyDescent="0.25">
      <c r="C1634" s="4"/>
    </row>
    <row r="1635" spans="3:3" x14ac:dyDescent="0.25">
      <c r="C1635" s="4"/>
    </row>
    <row r="1636" spans="3:3" x14ac:dyDescent="0.25">
      <c r="C1636" s="4"/>
    </row>
    <row r="1637" spans="3:3" x14ac:dyDescent="0.25">
      <c r="C1637" s="4"/>
    </row>
    <row r="1638" spans="3:3" x14ac:dyDescent="0.25">
      <c r="C1638" s="4"/>
    </row>
    <row r="1639" spans="3:3" x14ac:dyDescent="0.25">
      <c r="C1639" s="4"/>
    </row>
    <row r="1640" spans="3:3" x14ac:dyDescent="0.25">
      <c r="C1640" s="4"/>
    </row>
    <row r="1641" spans="3:3" x14ac:dyDescent="0.25">
      <c r="C1641" s="4"/>
    </row>
    <row r="1642" spans="3:3" x14ac:dyDescent="0.25">
      <c r="C1642" s="4"/>
    </row>
    <row r="1643" spans="3:3" x14ac:dyDescent="0.25">
      <c r="C1643" s="4"/>
    </row>
    <row r="1644" spans="3:3" x14ac:dyDescent="0.25">
      <c r="C1644" s="4"/>
    </row>
    <row r="1645" spans="3:3" x14ac:dyDescent="0.25">
      <c r="C1645" s="4"/>
    </row>
    <row r="1646" spans="3:3" x14ac:dyDescent="0.25">
      <c r="C1646" s="4"/>
    </row>
    <row r="1647" spans="3:3" x14ac:dyDescent="0.25">
      <c r="C1647" s="4"/>
    </row>
    <row r="1648" spans="3:3" x14ac:dyDescent="0.25">
      <c r="C1648" s="4"/>
    </row>
    <row r="1649" spans="3:3" x14ac:dyDescent="0.25">
      <c r="C1649" s="4"/>
    </row>
    <row r="1650" spans="3:3" x14ac:dyDescent="0.25">
      <c r="C1650" s="4"/>
    </row>
    <row r="1651" spans="3:3" x14ac:dyDescent="0.25">
      <c r="C1651" s="4"/>
    </row>
    <row r="1652" spans="3:3" x14ac:dyDescent="0.25">
      <c r="C1652" s="4"/>
    </row>
    <row r="1653" spans="3:3" x14ac:dyDescent="0.25">
      <c r="C1653" s="4"/>
    </row>
    <row r="1654" spans="3:3" x14ac:dyDescent="0.25">
      <c r="C1654" s="4"/>
    </row>
    <row r="1655" spans="3:3" x14ac:dyDescent="0.25">
      <c r="C1655" s="4"/>
    </row>
    <row r="1656" spans="3:3" x14ac:dyDescent="0.25">
      <c r="C1656" s="4"/>
    </row>
    <row r="1657" spans="3:3" x14ac:dyDescent="0.25">
      <c r="C1657" s="4"/>
    </row>
    <row r="1658" spans="3:3" x14ac:dyDescent="0.25">
      <c r="C1658" s="4"/>
    </row>
    <row r="1659" spans="3:3" x14ac:dyDescent="0.25">
      <c r="C1659" s="4"/>
    </row>
    <row r="1660" spans="3:3" x14ac:dyDescent="0.25">
      <c r="C1660" s="4"/>
    </row>
    <row r="1661" spans="3:3" x14ac:dyDescent="0.25">
      <c r="C1661" s="4"/>
    </row>
    <row r="1662" spans="3:3" x14ac:dyDescent="0.25">
      <c r="C1662" s="4"/>
    </row>
    <row r="1663" spans="3:3" x14ac:dyDescent="0.25">
      <c r="C1663" s="4"/>
    </row>
    <row r="1664" spans="3:3" x14ac:dyDescent="0.25">
      <c r="C1664" s="4"/>
    </row>
    <row r="1665" spans="3:3" x14ac:dyDescent="0.25">
      <c r="C1665" s="4"/>
    </row>
    <row r="1666" spans="3:3" x14ac:dyDescent="0.25">
      <c r="C1666" s="4"/>
    </row>
    <row r="1667" spans="3:3" x14ac:dyDescent="0.25">
      <c r="C1667" s="4"/>
    </row>
    <row r="1668" spans="3:3" x14ac:dyDescent="0.25">
      <c r="C1668" s="4"/>
    </row>
    <row r="1669" spans="3:3" x14ac:dyDescent="0.25">
      <c r="C1669" s="4"/>
    </row>
    <row r="1670" spans="3:3" x14ac:dyDescent="0.25">
      <c r="C1670" s="4"/>
    </row>
    <row r="1671" spans="3:3" x14ac:dyDescent="0.25">
      <c r="C1671" s="4"/>
    </row>
    <row r="1672" spans="3:3" x14ac:dyDescent="0.25">
      <c r="C1672" s="4"/>
    </row>
    <row r="1673" spans="3:3" x14ac:dyDescent="0.25">
      <c r="C1673" s="4"/>
    </row>
    <row r="1674" spans="3:3" x14ac:dyDescent="0.25">
      <c r="C1674" s="4"/>
    </row>
    <row r="1675" spans="3:3" x14ac:dyDescent="0.25">
      <c r="C1675" s="4"/>
    </row>
    <row r="1676" spans="3:3" x14ac:dyDescent="0.25">
      <c r="C1676" s="4"/>
    </row>
    <row r="1677" spans="3:3" x14ac:dyDescent="0.25">
      <c r="C1677" s="4"/>
    </row>
    <row r="1678" spans="3:3" x14ac:dyDescent="0.25">
      <c r="C1678" s="4"/>
    </row>
    <row r="1679" spans="3:3" x14ac:dyDescent="0.25">
      <c r="C1679" s="4"/>
    </row>
    <row r="1680" spans="3:3" x14ac:dyDescent="0.25">
      <c r="C1680" s="4"/>
    </row>
    <row r="1681" spans="3:3" x14ac:dyDescent="0.25">
      <c r="C1681" s="4"/>
    </row>
    <row r="1682" spans="3:3" x14ac:dyDescent="0.25">
      <c r="C1682" s="4"/>
    </row>
    <row r="1683" spans="3:3" x14ac:dyDescent="0.25">
      <c r="C1683" s="4"/>
    </row>
    <row r="1684" spans="3:3" x14ac:dyDescent="0.25">
      <c r="C1684" s="4"/>
    </row>
    <row r="1685" spans="3:3" x14ac:dyDescent="0.25">
      <c r="C1685" s="4"/>
    </row>
    <row r="1686" spans="3:3" x14ac:dyDescent="0.25">
      <c r="C1686" s="4"/>
    </row>
    <row r="1687" spans="3:3" x14ac:dyDescent="0.25">
      <c r="C1687" s="4"/>
    </row>
    <row r="1688" spans="3:3" x14ac:dyDescent="0.25">
      <c r="C1688" s="4"/>
    </row>
    <row r="1689" spans="3:3" x14ac:dyDescent="0.25">
      <c r="C1689" s="4"/>
    </row>
    <row r="1690" spans="3:3" x14ac:dyDescent="0.25">
      <c r="C1690" s="4"/>
    </row>
    <row r="1691" spans="3:3" x14ac:dyDescent="0.25">
      <c r="C1691" s="4"/>
    </row>
    <row r="1692" spans="3:3" x14ac:dyDescent="0.25">
      <c r="C1692" s="4"/>
    </row>
    <row r="1693" spans="3:3" x14ac:dyDescent="0.25">
      <c r="C1693" s="4"/>
    </row>
    <row r="1694" spans="3:3" x14ac:dyDescent="0.25">
      <c r="C1694" s="4"/>
    </row>
    <row r="1695" spans="3:3" x14ac:dyDescent="0.25">
      <c r="C1695" s="4"/>
    </row>
    <row r="1696" spans="3:3" x14ac:dyDescent="0.25">
      <c r="C1696" s="4"/>
    </row>
    <row r="1697" spans="3:3" x14ac:dyDescent="0.25">
      <c r="C1697" s="4"/>
    </row>
    <row r="1698" spans="3:3" x14ac:dyDescent="0.25">
      <c r="C1698" s="4"/>
    </row>
    <row r="1699" spans="3:3" x14ac:dyDescent="0.25">
      <c r="C1699" s="4"/>
    </row>
    <row r="1700" spans="3:3" x14ac:dyDescent="0.25">
      <c r="C1700" s="4"/>
    </row>
    <row r="1701" spans="3:3" x14ac:dyDescent="0.25">
      <c r="C1701" s="4"/>
    </row>
    <row r="1702" spans="3:3" x14ac:dyDescent="0.25">
      <c r="C1702" s="4"/>
    </row>
    <row r="1703" spans="3:3" x14ac:dyDescent="0.25">
      <c r="C1703" s="4"/>
    </row>
    <row r="1704" spans="3:3" x14ac:dyDescent="0.25">
      <c r="C1704" s="4"/>
    </row>
    <row r="1705" spans="3:3" x14ac:dyDescent="0.25">
      <c r="C1705" s="4"/>
    </row>
    <row r="1706" spans="3:3" x14ac:dyDescent="0.25">
      <c r="C1706" s="4"/>
    </row>
    <row r="1707" spans="3:3" x14ac:dyDescent="0.25">
      <c r="C1707" s="4"/>
    </row>
    <row r="1708" spans="3:3" x14ac:dyDescent="0.25">
      <c r="C1708" s="4"/>
    </row>
    <row r="1709" spans="3:3" x14ac:dyDescent="0.25">
      <c r="C1709" s="4"/>
    </row>
    <row r="1710" spans="3:3" x14ac:dyDescent="0.25">
      <c r="C1710" s="4"/>
    </row>
    <row r="1711" spans="3:3" x14ac:dyDescent="0.25">
      <c r="C1711" s="4"/>
    </row>
    <row r="1712" spans="3:3" x14ac:dyDescent="0.25">
      <c r="C1712" s="4"/>
    </row>
    <row r="1713" spans="3:3" x14ac:dyDescent="0.25">
      <c r="C1713" s="4"/>
    </row>
    <row r="1714" spans="3:3" x14ac:dyDescent="0.25">
      <c r="C1714" s="4"/>
    </row>
    <row r="1715" spans="3:3" x14ac:dyDescent="0.25">
      <c r="C1715" s="4"/>
    </row>
    <row r="1716" spans="3:3" x14ac:dyDescent="0.25">
      <c r="C1716" s="4"/>
    </row>
    <row r="1717" spans="3:3" x14ac:dyDescent="0.25">
      <c r="C1717" s="4"/>
    </row>
    <row r="1718" spans="3:3" x14ac:dyDescent="0.25">
      <c r="C1718" s="4"/>
    </row>
    <row r="1719" spans="3:3" x14ac:dyDescent="0.25">
      <c r="C1719" s="4"/>
    </row>
    <row r="1720" spans="3:3" x14ac:dyDescent="0.25">
      <c r="C1720" s="4"/>
    </row>
    <row r="1721" spans="3:3" x14ac:dyDescent="0.25">
      <c r="C1721" s="4"/>
    </row>
    <row r="1722" spans="3:3" x14ac:dyDescent="0.25">
      <c r="C1722" s="4"/>
    </row>
    <row r="1723" spans="3:3" x14ac:dyDescent="0.25">
      <c r="C1723" s="4"/>
    </row>
    <row r="1724" spans="3:3" x14ac:dyDescent="0.25">
      <c r="C1724" s="4"/>
    </row>
    <row r="1725" spans="3:3" x14ac:dyDescent="0.25">
      <c r="C1725" s="4"/>
    </row>
    <row r="1726" spans="3:3" x14ac:dyDescent="0.25">
      <c r="C1726" s="4"/>
    </row>
    <row r="1727" spans="3:3" x14ac:dyDescent="0.25">
      <c r="C1727" s="4"/>
    </row>
    <row r="1728" spans="3:3" x14ac:dyDescent="0.25">
      <c r="C1728" s="4"/>
    </row>
    <row r="1729" spans="3:3" x14ac:dyDescent="0.25">
      <c r="C1729" s="4"/>
    </row>
    <row r="1730" spans="3:3" x14ac:dyDescent="0.25">
      <c r="C1730" s="4"/>
    </row>
    <row r="1731" spans="3:3" x14ac:dyDescent="0.25">
      <c r="C1731" s="4"/>
    </row>
    <row r="1732" spans="3:3" x14ac:dyDescent="0.25">
      <c r="C1732" s="4"/>
    </row>
    <row r="1733" spans="3:3" x14ac:dyDescent="0.25">
      <c r="C1733" s="4"/>
    </row>
    <row r="1734" spans="3:3" x14ac:dyDescent="0.25">
      <c r="C1734" s="4"/>
    </row>
    <row r="1735" spans="3:3" x14ac:dyDescent="0.25">
      <c r="C1735" s="4"/>
    </row>
    <row r="1736" spans="3:3" x14ac:dyDescent="0.25">
      <c r="C1736" s="4"/>
    </row>
    <row r="1737" spans="3:3" x14ac:dyDescent="0.25">
      <c r="C1737" s="4"/>
    </row>
    <row r="1738" spans="3:3" x14ac:dyDescent="0.25">
      <c r="C1738" s="4"/>
    </row>
    <row r="1739" spans="3:3" x14ac:dyDescent="0.25">
      <c r="C1739" s="4"/>
    </row>
    <row r="1740" spans="3:3" x14ac:dyDescent="0.25">
      <c r="C1740" s="4"/>
    </row>
    <row r="1741" spans="3:3" x14ac:dyDescent="0.25">
      <c r="C1741" s="4"/>
    </row>
    <row r="1742" spans="3:3" x14ac:dyDescent="0.25">
      <c r="C1742" s="4"/>
    </row>
    <row r="1743" spans="3:3" x14ac:dyDescent="0.25">
      <c r="C1743" s="4"/>
    </row>
    <row r="1744" spans="3:3" x14ac:dyDescent="0.25">
      <c r="C1744" s="4"/>
    </row>
    <row r="1745" spans="3:3" x14ac:dyDescent="0.25">
      <c r="C1745" s="4"/>
    </row>
    <row r="1746" spans="3:3" x14ac:dyDescent="0.25">
      <c r="C1746" s="4"/>
    </row>
    <row r="1747" spans="3:3" x14ac:dyDescent="0.25">
      <c r="C1747" s="4"/>
    </row>
    <row r="1748" spans="3:3" x14ac:dyDescent="0.25">
      <c r="C1748" s="4"/>
    </row>
    <row r="1749" spans="3:3" x14ac:dyDescent="0.25">
      <c r="C1749" s="4"/>
    </row>
    <row r="1750" spans="3:3" x14ac:dyDescent="0.25">
      <c r="C1750" s="4"/>
    </row>
    <row r="1751" spans="3:3" x14ac:dyDescent="0.25">
      <c r="C1751" s="4"/>
    </row>
    <row r="1752" spans="3:3" x14ac:dyDescent="0.25">
      <c r="C1752" s="4"/>
    </row>
    <row r="1753" spans="3:3" x14ac:dyDescent="0.25">
      <c r="C1753" s="4"/>
    </row>
    <row r="1754" spans="3:3" x14ac:dyDescent="0.25">
      <c r="C1754" s="4"/>
    </row>
    <row r="1755" spans="3:3" x14ac:dyDescent="0.25">
      <c r="C1755" s="4"/>
    </row>
    <row r="1756" spans="3:3" x14ac:dyDescent="0.25">
      <c r="C1756" s="4"/>
    </row>
    <row r="1757" spans="3:3" x14ac:dyDescent="0.25">
      <c r="C1757" s="4"/>
    </row>
    <row r="1758" spans="3:3" x14ac:dyDescent="0.25">
      <c r="C1758" s="4"/>
    </row>
    <row r="1759" spans="3:3" x14ac:dyDescent="0.25">
      <c r="C1759" s="4"/>
    </row>
    <row r="1760" spans="3:3" x14ac:dyDescent="0.25">
      <c r="C1760" s="4"/>
    </row>
    <row r="1761" spans="3:3" x14ac:dyDescent="0.25">
      <c r="C1761" s="4"/>
    </row>
    <row r="1762" spans="3:3" x14ac:dyDescent="0.25">
      <c r="C1762" s="4"/>
    </row>
    <row r="1763" spans="3:3" x14ac:dyDescent="0.25">
      <c r="C1763" s="4"/>
    </row>
    <row r="1764" spans="3:3" x14ac:dyDescent="0.25">
      <c r="C1764" s="4"/>
    </row>
    <row r="1765" spans="3:3" x14ac:dyDescent="0.25">
      <c r="C1765" s="4"/>
    </row>
    <row r="1766" spans="3:3" x14ac:dyDescent="0.25">
      <c r="C1766" s="4"/>
    </row>
    <row r="1767" spans="3:3" x14ac:dyDescent="0.25">
      <c r="C1767" s="4"/>
    </row>
    <row r="1768" spans="3:3" x14ac:dyDescent="0.25">
      <c r="C1768" s="4"/>
    </row>
    <row r="1769" spans="3:3" x14ac:dyDescent="0.25">
      <c r="C1769" s="4"/>
    </row>
    <row r="1770" spans="3:3" x14ac:dyDescent="0.25">
      <c r="C1770" s="4"/>
    </row>
    <row r="1771" spans="3:3" x14ac:dyDescent="0.25">
      <c r="C1771" s="4"/>
    </row>
    <row r="1772" spans="3:3" x14ac:dyDescent="0.25">
      <c r="C1772" s="4"/>
    </row>
    <row r="1773" spans="3:3" x14ac:dyDescent="0.25">
      <c r="C1773" s="4"/>
    </row>
    <row r="1774" spans="3:3" x14ac:dyDescent="0.25">
      <c r="C1774" s="4"/>
    </row>
    <row r="1775" spans="3:3" x14ac:dyDescent="0.25">
      <c r="C1775" s="4"/>
    </row>
    <row r="1776" spans="3:3" x14ac:dyDescent="0.25">
      <c r="C1776" s="4"/>
    </row>
    <row r="1777" spans="3:3" x14ac:dyDescent="0.25">
      <c r="C1777" s="4"/>
    </row>
    <row r="1778" spans="3:3" x14ac:dyDescent="0.25">
      <c r="C1778" s="4"/>
    </row>
    <row r="1779" spans="3:3" x14ac:dyDescent="0.25">
      <c r="C1779" s="4"/>
    </row>
    <row r="1780" spans="3:3" x14ac:dyDescent="0.25">
      <c r="C1780" s="4"/>
    </row>
    <row r="1781" spans="3:3" x14ac:dyDescent="0.25">
      <c r="C1781" s="4"/>
    </row>
    <row r="1782" spans="3:3" x14ac:dyDescent="0.25">
      <c r="C1782" s="4"/>
    </row>
    <row r="1783" spans="3:3" x14ac:dyDescent="0.25">
      <c r="C1783" s="4"/>
    </row>
    <row r="1784" spans="3:3" x14ac:dyDescent="0.25">
      <c r="C1784" s="4"/>
    </row>
    <row r="1785" spans="3:3" x14ac:dyDescent="0.25">
      <c r="C1785" s="4"/>
    </row>
    <row r="1786" spans="3:3" x14ac:dyDescent="0.25">
      <c r="C1786" s="4"/>
    </row>
    <row r="1787" spans="3:3" x14ac:dyDescent="0.25">
      <c r="C1787" s="4"/>
    </row>
    <row r="1788" spans="3:3" x14ac:dyDescent="0.25">
      <c r="C1788" s="4"/>
    </row>
    <row r="1789" spans="3:3" x14ac:dyDescent="0.25">
      <c r="C1789" s="4"/>
    </row>
    <row r="1790" spans="3:3" x14ac:dyDescent="0.25">
      <c r="C1790" s="4"/>
    </row>
    <row r="1791" spans="3:3" x14ac:dyDescent="0.25">
      <c r="C1791" s="4"/>
    </row>
    <row r="1792" spans="3:3" x14ac:dyDescent="0.25">
      <c r="C1792" s="4"/>
    </row>
    <row r="1793" spans="3:3" x14ac:dyDescent="0.25">
      <c r="C1793" s="4"/>
    </row>
    <row r="1794" spans="3:3" x14ac:dyDescent="0.25">
      <c r="C1794" s="4"/>
    </row>
    <row r="1795" spans="3:3" x14ac:dyDescent="0.25">
      <c r="C1795" s="4"/>
    </row>
    <row r="1796" spans="3:3" x14ac:dyDescent="0.25">
      <c r="C1796" s="4"/>
    </row>
    <row r="1797" spans="3:3" x14ac:dyDescent="0.25">
      <c r="C1797" s="4"/>
    </row>
    <row r="1798" spans="3:3" x14ac:dyDescent="0.25">
      <c r="C1798" s="4"/>
    </row>
    <row r="1799" spans="3:3" x14ac:dyDescent="0.25">
      <c r="C1799" s="4"/>
    </row>
    <row r="1800" spans="3:3" x14ac:dyDescent="0.25">
      <c r="C1800" s="4"/>
    </row>
    <row r="1801" spans="3:3" x14ac:dyDescent="0.25">
      <c r="C1801" s="4"/>
    </row>
    <row r="1802" spans="3:3" x14ac:dyDescent="0.25">
      <c r="C1802" s="4"/>
    </row>
    <row r="1803" spans="3:3" x14ac:dyDescent="0.25">
      <c r="C1803" s="4"/>
    </row>
    <row r="1804" spans="3:3" x14ac:dyDescent="0.25">
      <c r="C1804" s="4"/>
    </row>
    <row r="1805" spans="3:3" x14ac:dyDescent="0.25">
      <c r="C1805" s="4"/>
    </row>
    <row r="1806" spans="3:3" x14ac:dyDescent="0.25">
      <c r="C1806" s="4"/>
    </row>
    <row r="1807" spans="3:3" x14ac:dyDescent="0.25">
      <c r="C1807" s="4"/>
    </row>
    <row r="1808" spans="3:3" x14ac:dyDescent="0.25">
      <c r="C1808" s="4"/>
    </row>
    <row r="1809" spans="3:3" x14ac:dyDescent="0.25">
      <c r="C1809" s="4"/>
    </row>
    <row r="1810" spans="3:3" x14ac:dyDescent="0.25">
      <c r="C1810" s="4"/>
    </row>
    <row r="1811" spans="3:3" x14ac:dyDescent="0.25">
      <c r="C1811" s="4"/>
    </row>
    <row r="1812" spans="3:3" x14ac:dyDescent="0.25">
      <c r="C1812" s="4"/>
    </row>
    <row r="1813" spans="3:3" x14ac:dyDescent="0.25">
      <c r="C1813" s="4"/>
    </row>
    <row r="1814" spans="3:3" x14ac:dyDescent="0.25">
      <c r="C1814" s="4"/>
    </row>
    <row r="1815" spans="3:3" x14ac:dyDescent="0.25">
      <c r="C1815" s="4"/>
    </row>
    <row r="1816" spans="3:3" x14ac:dyDescent="0.25">
      <c r="C1816" s="4"/>
    </row>
    <row r="1817" spans="3:3" x14ac:dyDescent="0.25">
      <c r="C1817" s="4"/>
    </row>
    <row r="1818" spans="3:3" x14ac:dyDescent="0.25">
      <c r="C1818" s="4"/>
    </row>
    <row r="1819" spans="3:3" x14ac:dyDescent="0.25">
      <c r="C1819" s="4"/>
    </row>
    <row r="1820" spans="3:3" x14ac:dyDescent="0.25">
      <c r="C1820" s="4"/>
    </row>
    <row r="1821" spans="3:3" x14ac:dyDescent="0.25">
      <c r="C1821" s="4"/>
    </row>
    <row r="1822" spans="3:3" x14ac:dyDescent="0.25">
      <c r="C1822" s="4"/>
    </row>
    <row r="1823" spans="3:3" x14ac:dyDescent="0.25">
      <c r="C1823" s="4"/>
    </row>
    <row r="1824" spans="3:3" x14ac:dyDescent="0.25">
      <c r="C1824" s="4"/>
    </row>
    <row r="1825" spans="3:3" x14ac:dyDescent="0.25">
      <c r="C1825" s="4"/>
    </row>
    <row r="1826" spans="3:3" x14ac:dyDescent="0.25">
      <c r="C1826" s="4"/>
    </row>
    <row r="1827" spans="3:3" x14ac:dyDescent="0.25">
      <c r="C1827" s="4"/>
    </row>
    <row r="1828" spans="3:3" x14ac:dyDescent="0.25">
      <c r="C1828" s="4"/>
    </row>
    <row r="1829" spans="3:3" x14ac:dyDescent="0.25">
      <c r="C1829" s="4"/>
    </row>
    <row r="1830" spans="3:3" x14ac:dyDescent="0.25">
      <c r="C1830" s="4"/>
    </row>
    <row r="1831" spans="3:3" x14ac:dyDescent="0.25">
      <c r="C1831" s="4"/>
    </row>
    <row r="1832" spans="3:3" x14ac:dyDescent="0.25">
      <c r="C1832" s="4"/>
    </row>
    <row r="1833" spans="3:3" x14ac:dyDescent="0.25">
      <c r="C1833" s="4"/>
    </row>
    <row r="1834" spans="3:3" x14ac:dyDescent="0.25">
      <c r="C1834" s="4"/>
    </row>
    <row r="1835" spans="3:3" x14ac:dyDescent="0.25">
      <c r="C1835" s="4"/>
    </row>
    <row r="1836" spans="3:3" x14ac:dyDescent="0.25">
      <c r="C1836" s="4"/>
    </row>
    <row r="1837" spans="3:3" x14ac:dyDescent="0.25">
      <c r="C1837" s="4"/>
    </row>
    <row r="1838" spans="3:3" x14ac:dyDescent="0.25">
      <c r="C1838" s="4"/>
    </row>
    <row r="1839" spans="3:3" x14ac:dyDescent="0.25">
      <c r="C1839" s="4"/>
    </row>
    <row r="1840" spans="3:3" x14ac:dyDescent="0.25">
      <c r="C1840" s="4"/>
    </row>
    <row r="1841" spans="3:3" x14ac:dyDescent="0.25">
      <c r="C1841" s="4"/>
    </row>
    <row r="1842" spans="3:3" x14ac:dyDescent="0.25">
      <c r="C1842" s="4"/>
    </row>
    <row r="1843" spans="3:3" x14ac:dyDescent="0.25">
      <c r="C1843" s="4"/>
    </row>
    <row r="1844" spans="3:3" x14ac:dyDescent="0.25">
      <c r="C1844" s="4"/>
    </row>
    <row r="1845" spans="3:3" x14ac:dyDescent="0.25">
      <c r="C1845" s="4"/>
    </row>
    <row r="1846" spans="3:3" x14ac:dyDescent="0.25">
      <c r="C1846" s="4"/>
    </row>
    <row r="1847" spans="3:3" x14ac:dyDescent="0.25">
      <c r="C1847" s="4"/>
    </row>
    <row r="1848" spans="3:3" x14ac:dyDescent="0.25">
      <c r="C1848" s="4"/>
    </row>
    <row r="1849" spans="3:3" x14ac:dyDescent="0.25">
      <c r="C1849" s="4"/>
    </row>
    <row r="1850" spans="3:3" x14ac:dyDescent="0.25">
      <c r="C1850" s="4"/>
    </row>
    <row r="1851" spans="3:3" x14ac:dyDescent="0.25">
      <c r="C1851" s="4"/>
    </row>
    <row r="1852" spans="3:3" x14ac:dyDescent="0.25">
      <c r="C1852" s="4"/>
    </row>
    <row r="1853" spans="3:3" x14ac:dyDescent="0.25">
      <c r="C1853" s="4"/>
    </row>
    <row r="1854" spans="3:3" x14ac:dyDescent="0.25">
      <c r="C1854" s="4"/>
    </row>
    <row r="1855" spans="3:3" x14ac:dyDescent="0.25">
      <c r="C1855" s="4"/>
    </row>
    <row r="1856" spans="3:3" x14ac:dyDescent="0.25">
      <c r="C1856" s="4"/>
    </row>
    <row r="1857" spans="3:3" x14ac:dyDescent="0.25">
      <c r="C1857" s="4"/>
    </row>
    <row r="1858" spans="3:3" x14ac:dyDescent="0.25">
      <c r="C1858" s="4"/>
    </row>
    <row r="1859" spans="3:3" x14ac:dyDescent="0.25">
      <c r="C1859" s="4"/>
    </row>
    <row r="1860" spans="3:3" x14ac:dyDescent="0.25">
      <c r="C1860" s="4"/>
    </row>
    <row r="1861" spans="3:3" x14ac:dyDescent="0.25">
      <c r="C1861" s="4"/>
    </row>
    <row r="1862" spans="3:3" x14ac:dyDescent="0.25">
      <c r="C1862" s="4"/>
    </row>
    <row r="1863" spans="3:3" x14ac:dyDescent="0.25">
      <c r="C1863" s="4"/>
    </row>
    <row r="1864" spans="3:3" x14ac:dyDescent="0.25">
      <c r="C1864" s="4"/>
    </row>
    <row r="1865" spans="3:3" x14ac:dyDescent="0.25">
      <c r="C1865" s="4"/>
    </row>
    <row r="1866" spans="3:3" x14ac:dyDescent="0.25">
      <c r="C1866" s="4"/>
    </row>
    <row r="1867" spans="3:3" x14ac:dyDescent="0.25">
      <c r="C1867" s="4"/>
    </row>
    <row r="1868" spans="3:3" x14ac:dyDescent="0.25">
      <c r="C1868" s="4"/>
    </row>
    <row r="1869" spans="3:3" x14ac:dyDescent="0.25">
      <c r="C1869" s="4"/>
    </row>
    <row r="1870" spans="3:3" x14ac:dyDescent="0.25">
      <c r="C1870" s="4"/>
    </row>
    <row r="1871" spans="3:3" x14ac:dyDescent="0.25">
      <c r="C1871" s="4"/>
    </row>
    <row r="1872" spans="3:3" x14ac:dyDescent="0.25">
      <c r="C1872" s="4"/>
    </row>
    <row r="1873" spans="3:3" x14ac:dyDescent="0.25">
      <c r="C1873" s="4"/>
    </row>
    <row r="1874" spans="3:3" x14ac:dyDescent="0.25">
      <c r="C1874" s="4"/>
    </row>
    <row r="1875" spans="3:3" x14ac:dyDescent="0.25">
      <c r="C1875" s="4"/>
    </row>
    <row r="1876" spans="3:3" x14ac:dyDescent="0.25">
      <c r="C1876" s="4"/>
    </row>
    <row r="1877" spans="3:3" x14ac:dyDescent="0.25">
      <c r="C1877" s="4"/>
    </row>
    <row r="1878" spans="3:3" x14ac:dyDescent="0.25">
      <c r="C1878" s="4"/>
    </row>
    <row r="1879" spans="3:3" x14ac:dyDescent="0.25">
      <c r="C1879" s="4"/>
    </row>
    <row r="1880" spans="3:3" x14ac:dyDescent="0.25">
      <c r="C1880" s="4"/>
    </row>
    <row r="1881" spans="3:3" x14ac:dyDescent="0.25">
      <c r="C1881" s="4"/>
    </row>
    <row r="1882" spans="3:3" x14ac:dyDescent="0.25">
      <c r="C1882" s="4"/>
    </row>
    <row r="1883" spans="3:3" x14ac:dyDescent="0.25">
      <c r="C1883" s="4"/>
    </row>
    <row r="1884" spans="3:3" x14ac:dyDescent="0.25">
      <c r="C1884" s="4"/>
    </row>
    <row r="1885" spans="3:3" x14ac:dyDescent="0.25">
      <c r="C1885" s="4"/>
    </row>
    <row r="1886" spans="3:3" x14ac:dyDescent="0.25">
      <c r="C1886" s="4"/>
    </row>
    <row r="1887" spans="3:3" x14ac:dyDescent="0.25">
      <c r="C1887" s="4"/>
    </row>
    <row r="1888" spans="3:3" x14ac:dyDescent="0.25">
      <c r="C1888" s="4"/>
    </row>
    <row r="1889" spans="3:3" x14ac:dyDescent="0.25">
      <c r="C1889" s="4"/>
    </row>
    <row r="1890" spans="3:3" x14ac:dyDescent="0.25">
      <c r="C1890" s="4"/>
    </row>
    <row r="1892" spans="3:3" x14ac:dyDescent="0.25">
      <c r="C1892" s="4"/>
    </row>
    <row r="1893" spans="3:3" x14ac:dyDescent="0.25">
      <c r="C1893" s="4"/>
    </row>
    <row r="1894" spans="3:3" x14ac:dyDescent="0.25">
      <c r="C1894" s="4"/>
    </row>
    <row r="1895" spans="3:3" x14ac:dyDescent="0.25">
      <c r="C1895" s="4"/>
    </row>
    <row r="1896" spans="3:3" x14ac:dyDescent="0.25">
      <c r="C1896" s="4"/>
    </row>
    <row r="1897" spans="3:3" x14ac:dyDescent="0.25">
      <c r="C1897" s="4"/>
    </row>
    <row r="1898" spans="3:3" x14ac:dyDescent="0.25">
      <c r="C1898" s="4"/>
    </row>
    <row r="1900" spans="3:3" x14ac:dyDescent="0.25">
      <c r="C1900" s="4"/>
    </row>
    <row r="1901" spans="3:3" x14ac:dyDescent="0.25">
      <c r="C1901" s="4"/>
    </row>
    <row r="1902" spans="3:3" x14ac:dyDescent="0.25">
      <c r="C1902" s="4"/>
    </row>
    <row r="1903" spans="3:3" x14ac:dyDescent="0.25">
      <c r="C1903" s="4"/>
    </row>
    <row r="1904" spans="3:3" x14ac:dyDescent="0.25">
      <c r="C1904" s="4"/>
    </row>
    <row r="1905" spans="3:3" x14ac:dyDescent="0.25">
      <c r="C1905" s="4"/>
    </row>
    <row r="1906" spans="3:3" x14ac:dyDescent="0.25">
      <c r="C1906" s="4"/>
    </row>
    <row r="1907" spans="3:3" x14ac:dyDescent="0.25">
      <c r="C1907" s="4"/>
    </row>
    <row r="1908" spans="3:3" x14ac:dyDescent="0.25">
      <c r="C1908" s="4"/>
    </row>
    <row r="1909" spans="3:3" x14ac:dyDescent="0.25">
      <c r="C1909" s="4"/>
    </row>
    <row r="1911" spans="3:3" x14ac:dyDescent="0.25">
      <c r="C1911" s="4"/>
    </row>
    <row r="1912" spans="3:3" x14ac:dyDescent="0.25">
      <c r="C1912" s="4"/>
    </row>
    <row r="1913" spans="3:3" x14ac:dyDescent="0.25">
      <c r="C1913" s="4"/>
    </row>
    <row r="1915" spans="3:3" x14ac:dyDescent="0.25">
      <c r="C1915" s="4"/>
    </row>
    <row r="1916" spans="3:3" x14ac:dyDescent="0.25">
      <c r="C1916" s="4"/>
    </row>
    <row r="1917" spans="3:3" x14ac:dyDescent="0.25">
      <c r="C1917" s="4"/>
    </row>
    <row r="1918" spans="3:3" x14ac:dyDescent="0.25">
      <c r="C1918" s="4"/>
    </row>
    <row r="1919" spans="3:3" x14ac:dyDescent="0.25">
      <c r="C1919" s="4"/>
    </row>
    <row r="1920" spans="3:3" x14ac:dyDescent="0.25">
      <c r="C1920" s="4"/>
    </row>
    <row r="1921" spans="3:3" x14ac:dyDescent="0.25">
      <c r="C1921" s="4"/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bsah_SubDirList">
                <anchor moveWithCells="1" sizeWithCells="1">
                  <from>
                    <xdr:col>7</xdr:col>
                    <xdr:colOff>266700</xdr:colOff>
                    <xdr:row>2</xdr:row>
                    <xdr:rowOff>19050</xdr:rowOff>
                  </from>
                  <to>
                    <xdr:col>9</xdr:col>
                    <xdr:colOff>704850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214A-27D1-4943-B24A-C91B299CC319}">
  <sheetPr codeName="List6">
    <pageSetUpPr fitToPage="1"/>
  </sheetPr>
  <dimension ref="B1:K336"/>
  <sheetViews>
    <sheetView view="pageBreakPreview" zoomScaleNormal="100" zoomScaleSheetLayoutView="100" workbookViewId="0">
      <selection activeCell="D12" sqref="D12"/>
    </sheetView>
  </sheetViews>
  <sheetFormatPr defaultRowHeight="15" x14ac:dyDescent="0.25"/>
  <cols>
    <col min="2" max="2" width="12.85546875" customWidth="1"/>
    <col min="3" max="3" width="7.140625" bestFit="1" customWidth="1"/>
    <col min="4" max="4" width="98.140625" customWidth="1"/>
    <col min="5" max="5" width="7.85546875" style="12" customWidth="1"/>
    <col min="6" max="6" width="11.5703125" style="14" customWidth="1"/>
    <col min="9" max="9" width="12.7109375" customWidth="1"/>
  </cols>
  <sheetData>
    <row r="1" spans="2:11" ht="31.5" x14ac:dyDescent="0.25">
      <c r="B1" s="9" t="s">
        <v>30</v>
      </c>
      <c r="C1" s="9" t="s">
        <v>29</v>
      </c>
      <c r="D1" s="9"/>
      <c r="E1" s="10" t="s">
        <v>28</v>
      </c>
    </row>
    <row r="2" spans="2:11" s="8" customFormat="1" ht="18.75" x14ac:dyDescent="0.3">
      <c r="B2" s="6" t="s">
        <v>23</v>
      </c>
      <c r="C2" t="s">
        <v>27</v>
      </c>
      <c r="D2" t="s">
        <v>26</v>
      </c>
      <c r="E2" s="11">
        <v>3</v>
      </c>
      <c r="F2" s="17"/>
    </row>
    <row r="3" spans="2:11" ht="18.75" x14ac:dyDescent="0.3">
      <c r="B3" s="6" t="s">
        <v>34</v>
      </c>
      <c r="C3" s="4"/>
      <c r="K3" t="str">
        <f>MID(C3,7,100)</f>
        <v/>
      </c>
    </row>
    <row r="4" spans="2:11" ht="15.75" x14ac:dyDescent="0.25">
      <c r="B4" s="7" t="s">
        <v>35</v>
      </c>
      <c r="C4" s="4"/>
      <c r="F4" s="17"/>
    </row>
    <row r="5" spans="2:11" ht="15.75" x14ac:dyDescent="0.25">
      <c r="B5" s="7"/>
      <c r="C5" s="4" t="s">
        <v>15</v>
      </c>
      <c r="D5" t="s">
        <v>68</v>
      </c>
      <c r="E5" s="12">
        <v>1</v>
      </c>
    </row>
    <row r="6" spans="2:11" ht="15.75" x14ac:dyDescent="0.25">
      <c r="B6" s="7" t="s">
        <v>36</v>
      </c>
      <c r="C6" s="4"/>
      <c r="F6" s="17"/>
      <c r="K6" t="str">
        <f t="shared" ref="K6:K27" si="0">MID(C6,7,100)</f>
        <v/>
      </c>
    </row>
    <row r="7" spans="2:11" x14ac:dyDescent="0.25">
      <c r="C7" s="4" t="s">
        <v>15</v>
      </c>
      <c r="D7" t="s">
        <v>152</v>
      </c>
      <c r="E7" s="12">
        <v>1</v>
      </c>
      <c r="K7" t="str">
        <f t="shared" si="0"/>
        <v/>
      </c>
    </row>
    <row r="8" spans="2:11" x14ac:dyDescent="0.25">
      <c r="C8" s="4" t="s">
        <v>37</v>
      </c>
      <c r="D8" t="s">
        <v>153</v>
      </c>
      <c r="E8" s="12">
        <v>1</v>
      </c>
    </row>
    <row r="9" spans="2:11" x14ac:dyDescent="0.25">
      <c r="C9" s="4" t="s">
        <v>38</v>
      </c>
      <c r="D9" t="s">
        <v>69</v>
      </c>
      <c r="E9" s="12">
        <v>1</v>
      </c>
    </row>
    <row r="10" spans="2:11" x14ac:dyDescent="0.25">
      <c r="C10" s="4" t="s">
        <v>39</v>
      </c>
      <c r="D10" t="s">
        <v>70</v>
      </c>
      <c r="E10" s="12">
        <v>1</v>
      </c>
    </row>
    <row r="11" spans="2:11" x14ac:dyDescent="0.25">
      <c r="C11" s="4" t="s">
        <v>40</v>
      </c>
      <c r="D11" t="s">
        <v>148</v>
      </c>
      <c r="E11" s="12">
        <v>1</v>
      </c>
    </row>
    <row r="12" spans="2:11" x14ac:dyDescent="0.25">
      <c r="C12" s="4" t="s">
        <v>41</v>
      </c>
      <c r="D12" t="s">
        <v>149</v>
      </c>
      <c r="E12" s="12">
        <v>3</v>
      </c>
    </row>
    <row r="13" spans="2:11" x14ac:dyDescent="0.25">
      <c r="C13" s="4" t="s">
        <v>42</v>
      </c>
      <c r="D13" t="s">
        <v>71</v>
      </c>
      <c r="E13" s="12">
        <v>4</v>
      </c>
    </row>
    <row r="14" spans="2:11" x14ac:dyDescent="0.25">
      <c r="C14" s="4" t="s">
        <v>43</v>
      </c>
      <c r="D14" t="s">
        <v>150</v>
      </c>
      <c r="E14" s="12">
        <v>3</v>
      </c>
    </row>
    <row r="15" spans="2:11" x14ac:dyDescent="0.25">
      <c r="C15" s="4" t="s">
        <v>44</v>
      </c>
      <c r="D15" t="s">
        <v>72</v>
      </c>
      <c r="E15" s="12">
        <v>4</v>
      </c>
    </row>
    <row r="16" spans="2:11" x14ac:dyDescent="0.25">
      <c r="C16" s="4" t="s">
        <v>45</v>
      </c>
      <c r="D16" t="s">
        <v>73</v>
      </c>
      <c r="E16" s="12">
        <v>3</v>
      </c>
    </row>
    <row r="17" spans="2:11" x14ac:dyDescent="0.25">
      <c r="C17" s="4" t="s">
        <v>46</v>
      </c>
      <c r="D17" t="s">
        <v>151</v>
      </c>
      <c r="E17" s="12">
        <v>4</v>
      </c>
    </row>
    <row r="18" spans="2:11" x14ac:dyDescent="0.25">
      <c r="C18" s="4" t="s">
        <v>47</v>
      </c>
      <c r="D18" t="s">
        <v>74</v>
      </c>
      <c r="E18" s="12">
        <v>4</v>
      </c>
    </row>
    <row r="19" spans="2:11" ht="18.75" x14ac:dyDescent="0.3">
      <c r="B19" s="6"/>
      <c r="C19" s="4" t="s">
        <v>48</v>
      </c>
      <c r="D19" t="s">
        <v>154</v>
      </c>
      <c r="E19" s="12">
        <v>2</v>
      </c>
    </row>
    <row r="20" spans="2:11" ht="18.75" x14ac:dyDescent="0.3">
      <c r="B20" s="6"/>
      <c r="C20" s="4" t="s">
        <v>52</v>
      </c>
      <c r="D20" t="s">
        <v>361</v>
      </c>
      <c r="E20" s="12">
        <v>3</v>
      </c>
    </row>
    <row r="21" spans="2:11" ht="18.75" x14ac:dyDescent="0.3">
      <c r="B21" s="6"/>
      <c r="C21" s="4" t="s">
        <v>53</v>
      </c>
      <c r="D21" t="s">
        <v>155</v>
      </c>
      <c r="E21" s="12">
        <v>4</v>
      </c>
    </row>
    <row r="22" spans="2:11" ht="18.75" x14ac:dyDescent="0.3">
      <c r="B22" s="6"/>
      <c r="C22" s="4" t="s">
        <v>54</v>
      </c>
      <c r="D22" t="s">
        <v>76</v>
      </c>
      <c r="E22" s="12">
        <v>1</v>
      </c>
    </row>
    <row r="23" spans="2:11" ht="18.75" x14ac:dyDescent="0.3">
      <c r="B23" s="6" t="s">
        <v>49</v>
      </c>
      <c r="C23" s="4"/>
    </row>
    <row r="24" spans="2:11" ht="18.75" x14ac:dyDescent="0.3">
      <c r="B24" s="6"/>
      <c r="C24" s="4" t="s">
        <v>15</v>
      </c>
      <c r="D24" t="s">
        <v>366</v>
      </c>
      <c r="E24" s="12">
        <v>7</v>
      </c>
    </row>
    <row r="25" spans="2:11" ht="18.75" x14ac:dyDescent="0.3">
      <c r="B25" s="6" t="s">
        <v>24</v>
      </c>
      <c r="C25" s="4"/>
    </row>
    <row r="26" spans="2:11" ht="15.75" x14ac:dyDescent="0.25">
      <c r="B26" s="7" t="s">
        <v>50</v>
      </c>
      <c r="C26" s="4"/>
      <c r="K26" t="str">
        <f t="shared" si="0"/>
        <v/>
      </c>
    </row>
    <row r="27" spans="2:11" ht="15.75" x14ac:dyDescent="0.25">
      <c r="B27" s="7"/>
      <c r="C27" s="4" t="s">
        <v>15</v>
      </c>
      <c r="D27" t="s">
        <v>77</v>
      </c>
      <c r="E27" s="12">
        <v>80</v>
      </c>
      <c r="K27" t="str">
        <f t="shared" si="0"/>
        <v/>
      </c>
    </row>
    <row r="28" spans="2:11" ht="15.75" x14ac:dyDescent="0.25">
      <c r="B28" s="7" t="s">
        <v>51</v>
      </c>
      <c r="C28" s="4"/>
    </row>
    <row r="29" spans="2:11" ht="18.75" x14ac:dyDescent="0.3">
      <c r="B29" s="6"/>
      <c r="C29" s="4" t="s">
        <v>15</v>
      </c>
      <c r="D29" t="s">
        <v>156</v>
      </c>
      <c r="E29" s="12">
        <v>27</v>
      </c>
      <c r="F29" s="17"/>
    </row>
    <row r="30" spans="2:11" ht="18.75" x14ac:dyDescent="0.3">
      <c r="B30" s="6"/>
      <c r="C30" s="4" t="s">
        <v>37</v>
      </c>
      <c r="D30" t="s">
        <v>157</v>
      </c>
      <c r="E30" s="12">
        <v>7</v>
      </c>
    </row>
    <row r="31" spans="2:11" ht="18.75" x14ac:dyDescent="0.3">
      <c r="B31" s="6"/>
      <c r="C31" s="4" t="s">
        <v>38</v>
      </c>
      <c r="D31" t="s">
        <v>158</v>
      </c>
      <c r="E31" s="12">
        <v>7</v>
      </c>
    </row>
    <row r="32" spans="2:11" ht="15.75" x14ac:dyDescent="0.25">
      <c r="B32" s="7"/>
      <c r="C32" s="4" t="s">
        <v>39</v>
      </c>
      <c r="D32" t="s">
        <v>159</v>
      </c>
      <c r="E32" s="12">
        <v>13</v>
      </c>
      <c r="F32" s="18"/>
    </row>
    <row r="33" spans="2:6" ht="15.75" x14ac:dyDescent="0.25">
      <c r="B33" s="7"/>
      <c r="C33" s="4" t="s">
        <v>40</v>
      </c>
      <c r="D33" t="s">
        <v>160</v>
      </c>
      <c r="E33" s="12">
        <v>5</v>
      </c>
    </row>
    <row r="34" spans="2:6" ht="15.75" x14ac:dyDescent="0.25">
      <c r="B34" s="7"/>
      <c r="C34" s="4" t="s">
        <v>41</v>
      </c>
      <c r="D34" t="s">
        <v>161</v>
      </c>
      <c r="E34" s="16">
        <v>5</v>
      </c>
    </row>
    <row r="35" spans="2:6" ht="15.75" x14ac:dyDescent="0.25">
      <c r="B35" s="7"/>
      <c r="C35" s="4" t="s">
        <v>42</v>
      </c>
      <c r="D35" t="s">
        <v>162</v>
      </c>
      <c r="E35" s="12">
        <v>5</v>
      </c>
      <c r="F35" s="18"/>
    </row>
    <row r="36" spans="2:6" x14ac:dyDescent="0.25">
      <c r="C36" s="4" t="s">
        <v>43</v>
      </c>
      <c r="D36" t="s">
        <v>163</v>
      </c>
      <c r="E36" s="12">
        <v>5</v>
      </c>
    </row>
    <row r="37" spans="2:6" x14ac:dyDescent="0.25">
      <c r="C37" s="4" t="s">
        <v>44</v>
      </c>
      <c r="D37" t="s">
        <v>164</v>
      </c>
      <c r="E37" s="12">
        <v>5</v>
      </c>
    </row>
    <row r="38" spans="2:6" x14ac:dyDescent="0.25">
      <c r="C38" s="4" t="s">
        <v>45</v>
      </c>
      <c r="D38" t="s">
        <v>165</v>
      </c>
      <c r="E38" s="12">
        <v>5</v>
      </c>
    </row>
    <row r="39" spans="2:6" x14ac:dyDescent="0.25">
      <c r="C39" s="4" t="s">
        <v>46</v>
      </c>
      <c r="D39" t="s">
        <v>166</v>
      </c>
      <c r="E39" s="12">
        <v>5</v>
      </c>
    </row>
    <row r="40" spans="2:6" x14ac:dyDescent="0.25">
      <c r="C40" s="4" t="s">
        <v>47</v>
      </c>
      <c r="D40" t="s">
        <v>167</v>
      </c>
      <c r="E40" s="12">
        <v>5</v>
      </c>
    </row>
    <row r="41" spans="2:6" ht="15.75" x14ac:dyDescent="0.25">
      <c r="B41" s="7"/>
      <c r="C41" s="4" t="s">
        <v>48</v>
      </c>
      <c r="D41" t="s">
        <v>168</v>
      </c>
      <c r="E41" s="12">
        <v>5</v>
      </c>
    </row>
    <row r="42" spans="2:6" ht="15.75" x14ac:dyDescent="0.25">
      <c r="B42" s="7"/>
      <c r="C42" s="4" t="s">
        <v>52</v>
      </c>
      <c r="D42" t="s">
        <v>169</v>
      </c>
      <c r="E42" s="12">
        <v>5</v>
      </c>
    </row>
    <row r="43" spans="2:6" x14ac:dyDescent="0.25">
      <c r="C43" s="4" t="s">
        <v>53</v>
      </c>
      <c r="D43" t="s">
        <v>170</v>
      </c>
      <c r="E43" s="12">
        <v>5</v>
      </c>
    </row>
    <row r="44" spans="2:6" ht="15.75" x14ac:dyDescent="0.25">
      <c r="B44" s="7"/>
      <c r="C44" s="4" t="s">
        <v>54</v>
      </c>
      <c r="D44" t="s">
        <v>171</v>
      </c>
      <c r="E44" s="12">
        <v>5</v>
      </c>
    </row>
    <row r="45" spans="2:6" ht="15.75" x14ac:dyDescent="0.25">
      <c r="B45" s="7"/>
      <c r="C45" s="4" t="s">
        <v>56</v>
      </c>
      <c r="D45" t="s">
        <v>172</v>
      </c>
      <c r="E45" s="12">
        <v>6</v>
      </c>
    </row>
    <row r="46" spans="2:6" ht="15.75" x14ac:dyDescent="0.25">
      <c r="B46" s="7"/>
      <c r="C46" s="4" t="s">
        <v>57</v>
      </c>
      <c r="D46" t="s">
        <v>173</v>
      </c>
      <c r="E46" s="12">
        <v>6</v>
      </c>
    </row>
    <row r="47" spans="2:6" ht="15.75" x14ac:dyDescent="0.25">
      <c r="B47" s="7"/>
      <c r="C47" s="4" t="s">
        <v>58</v>
      </c>
      <c r="D47" t="s">
        <v>174</v>
      </c>
      <c r="E47" s="12">
        <v>5</v>
      </c>
    </row>
    <row r="48" spans="2:6" ht="15.75" x14ac:dyDescent="0.25">
      <c r="B48" s="7"/>
      <c r="C48" s="4" t="s">
        <v>59</v>
      </c>
      <c r="D48" t="s">
        <v>175</v>
      </c>
      <c r="E48" s="12">
        <v>5</v>
      </c>
    </row>
    <row r="49" spans="2:6" ht="15.75" x14ac:dyDescent="0.25">
      <c r="B49" s="7"/>
      <c r="C49" s="4" t="s">
        <v>60</v>
      </c>
      <c r="D49" t="s">
        <v>176</v>
      </c>
      <c r="E49" s="12">
        <v>5</v>
      </c>
    </row>
    <row r="50" spans="2:6" ht="15.75" x14ac:dyDescent="0.25">
      <c r="B50" s="7"/>
      <c r="C50" s="4" t="s">
        <v>61</v>
      </c>
      <c r="D50" t="s">
        <v>177</v>
      </c>
      <c r="E50" s="12">
        <v>5</v>
      </c>
    </row>
    <row r="51" spans="2:6" ht="15.75" x14ac:dyDescent="0.25">
      <c r="B51" s="7"/>
      <c r="C51" s="4" t="s">
        <v>62</v>
      </c>
      <c r="D51" t="s">
        <v>178</v>
      </c>
      <c r="E51" s="12">
        <v>10</v>
      </c>
    </row>
    <row r="52" spans="2:6" ht="15.75" x14ac:dyDescent="0.25">
      <c r="B52" s="7"/>
      <c r="C52" s="4" t="s">
        <v>63</v>
      </c>
      <c r="D52" t="s">
        <v>78</v>
      </c>
      <c r="E52" s="12">
        <v>7</v>
      </c>
    </row>
    <row r="53" spans="2:6" ht="15.75" x14ac:dyDescent="0.25">
      <c r="B53" s="7"/>
      <c r="C53" s="4" t="s">
        <v>64</v>
      </c>
      <c r="D53" t="s">
        <v>179</v>
      </c>
      <c r="E53" s="12">
        <v>4</v>
      </c>
      <c r="F53" s="18"/>
    </row>
    <row r="54" spans="2:6" ht="15.75" x14ac:dyDescent="0.25">
      <c r="B54" s="7"/>
      <c r="C54" s="4" t="s">
        <v>65</v>
      </c>
      <c r="D54" t="s">
        <v>180</v>
      </c>
      <c r="E54" s="12">
        <v>12</v>
      </c>
    </row>
    <row r="55" spans="2:6" ht="15.75" x14ac:dyDescent="0.25">
      <c r="B55" s="7"/>
      <c r="C55" s="4" t="s">
        <v>95</v>
      </c>
      <c r="D55" t="s">
        <v>181</v>
      </c>
      <c r="E55" s="12">
        <v>12</v>
      </c>
    </row>
    <row r="56" spans="2:6" ht="15.75" x14ac:dyDescent="0.25">
      <c r="B56" s="7"/>
      <c r="C56" s="4" t="s">
        <v>96</v>
      </c>
      <c r="D56" t="s">
        <v>79</v>
      </c>
      <c r="E56" s="12">
        <v>4</v>
      </c>
    </row>
    <row r="57" spans="2:6" ht="15.75" x14ac:dyDescent="0.25">
      <c r="B57" s="7"/>
      <c r="C57" s="4" t="s">
        <v>97</v>
      </c>
      <c r="D57" t="s">
        <v>80</v>
      </c>
      <c r="E57" s="12">
        <v>14</v>
      </c>
    </row>
    <row r="58" spans="2:6" ht="15.75" x14ac:dyDescent="0.25">
      <c r="B58" s="7"/>
      <c r="C58" s="4" t="s">
        <v>98</v>
      </c>
      <c r="D58" t="s">
        <v>81</v>
      </c>
      <c r="E58" s="12">
        <v>4</v>
      </c>
    </row>
    <row r="59" spans="2:6" ht="15.75" x14ac:dyDescent="0.25">
      <c r="B59" s="7"/>
      <c r="C59" s="4" t="s">
        <v>99</v>
      </c>
      <c r="D59" t="s">
        <v>82</v>
      </c>
      <c r="E59" s="12">
        <v>2</v>
      </c>
    </row>
    <row r="60" spans="2:6" ht="15.75" x14ac:dyDescent="0.25">
      <c r="B60" s="7"/>
      <c r="C60" s="4" t="s">
        <v>100</v>
      </c>
      <c r="D60" t="s">
        <v>83</v>
      </c>
      <c r="E60" s="12">
        <v>2</v>
      </c>
    </row>
    <row r="61" spans="2:6" ht="15.75" x14ac:dyDescent="0.25">
      <c r="B61" s="7"/>
      <c r="C61" s="4" t="s">
        <v>101</v>
      </c>
      <c r="D61" t="s">
        <v>182</v>
      </c>
      <c r="E61" s="12">
        <v>2</v>
      </c>
    </row>
    <row r="62" spans="2:6" ht="15.75" x14ac:dyDescent="0.25">
      <c r="B62" s="7"/>
      <c r="C62" s="4" t="s">
        <v>102</v>
      </c>
      <c r="D62" t="s">
        <v>183</v>
      </c>
      <c r="E62" s="12">
        <v>2</v>
      </c>
    </row>
    <row r="63" spans="2:6" ht="15.75" x14ac:dyDescent="0.25">
      <c r="B63" s="7"/>
      <c r="C63" s="4" t="s">
        <v>103</v>
      </c>
      <c r="D63" t="s">
        <v>184</v>
      </c>
      <c r="E63" s="12">
        <v>22</v>
      </c>
    </row>
    <row r="64" spans="2:6" ht="15.75" x14ac:dyDescent="0.25">
      <c r="B64" s="7"/>
      <c r="C64" s="4" t="s">
        <v>104</v>
      </c>
      <c r="D64" t="s">
        <v>84</v>
      </c>
      <c r="E64" s="12">
        <v>15</v>
      </c>
    </row>
    <row r="65" spans="2:5" ht="15.75" x14ac:dyDescent="0.25">
      <c r="B65" s="7" t="s">
        <v>55</v>
      </c>
      <c r="C65" s="4"/>
    </row>
    <row r="66" spans="2:5" ht="15.75" x14ac:dyDescent="0.25">
      <c r="B66" s="7"/>
      <c r="C66" s="4" t="s">
        <v>15</v>
      </c>
      <c r="D66" t="s">
        <v>185</v>
      </c>
      <c r="E66" s="12">
        <v>1</v>
      </c>
    </row>
    <row r="67" spans="2:5" ht="15.75" x14ac:dyDescent="0.25">
      <c r="B67" s="7"/>
      <c r="C67" s="4" t="s">
        <v>37</v>
      </c>
      <c r="D67" t="s">
        <v>186</v>
      </c>
      <c r="E67" s="12">
        <v>1</v>
      </c>
    </row>
    <row r="68" spans="2:5" ht="18.75" x14ac:dyDescent="0.3">
      <c r="B68" s="6"/>
      <c r="C68" s="4" t="s">
        <v>38</v>
      </c>
      <c r="D68" t="s">
        <v>187</v>
      </c>
      <c r="E68" s="12">
        <v>1</v>
      </c>
    </row>
    <row r="69" spans="2:5" ht="18.75" x14ac:dyDescent="0.3">
      <c r="B69" s="6"/>
      <c r="C69" s="4" t="s">
        <v>39</v>
      </c>
      <c r="D69" t="s">
        <v>188</v>
      </c>
      <c r="E69" s="12">
        <v>1</v>
      </c>
    </row>
    <row r="70" spans="2:5" ht="15.75" x14ac:dyDescent="0.25">
      <c r="B70" s="7"/>
      <c r="C70" s="4" t="s">
        <v>40</v>
      </c>
      <c r="D70" t="s">
        <v>189</v>
      </c>
      <c r="E70" s="12">
        <v>1</v>
      </c>
    </row>
    <row r="71" spans="2:5" ht="15.75" x14ac:dyDescent="0.25">
      <c r="B71" s="7"/>
      <c r="C71" s="4" t="s">
        <v>41</v>
      </c>
      <c r="D71" t="s">
        <v>190</v>
      </c>
      <c r="E71" s="12">
        <v>1</v>
      </c>
    </row>
    <row r="72" spans="2:5" ht="15.75" x14ac:dyDescent="0.25">
      <c r="B72" s="7"/>
      <c r="C72" s="4" t="s">
        <v>42</v>
      </c>
      <c r="D72" t="s">
        <v>191</v>
      </c>
      <c r="E72" s="12">
        <v>2</v>
      </c>
    </row>
    <row r="73" spans="2:5" ht="15.75" x14ac:dyDescent="0.25">
      <c r="B73" s="7"/>
      <c r="C73" s="4" t="s">
        <v>43</v>
      </c>
      <c r="D73" t="s">
        <v>192</v>
      </c>
      <c r="E73" s="12">
        <v>2</v>
      </c>
    </row>
    <row r="74" spans="2:5" ht="15.75" x14ac:dyDescent="0.25">
      <c r="B74" s="7"/>
      <c r="C74" s="4" t="s">
        <v>44</v>
      </c>
      <c r="D74" t="s">
        <v>193</v>
      </c>
      <c r="E74" s="12">
        <v>2</v>
      </c>
    </row>
    <row r="75" spans="2:5" ht="18.75" x14ac:dyDescent="0.3">
      <c r="B75" s="6"/>
      <c r="C75" s="4" t="s">
        <v>45</v>
      </c>
      <c r="D75" t="s">
        <v>194</v>
      </c>
      <c r="E75" s="12">
        <v>2</v>
      </c>
    </row>
    <row r="76" spans="2:5" ht="15.75" x14ac:dyDescent="0.25">
      <c r="B76" s="7"/>
      <c r="C76" s="4" t="s">
        <v>46</v>
      </c>
      <c r="D76" t="s">
        <v>205</v>
      </c>
      <c r="E76" s="12">
        <v>2</v>
      </c>
    </row>
    <row r="77" spans="2:5" ht="15.75" x14ac:dyDescent="0.25">
      <c r="B77" s="7"/>
      <c r="C77" s="4" t="s">
        <v>47</v>
      </c>
      <c r="D77" t="s">
        <v>216</v>
      </c>
      <c r="E77" s="12">
        <v>2</v>
      </c>
    </row>
    <row r="78" spans="2:5" ht="15.75" x14ac:dyDescent="0.25">
      <c r="B78" s="7"/>
      <c r="C78" s="4" t="s">
        <v>48</v>
      </c>
      <c r="D78" t="s">
        <v>220</v>
      </c>
      <c r="E78" s="12">
        <v>2</v>
      </c>
    </row>
    <row r="79" spans="2:5" ht="15.75" x14ac:dyDescent="0.25">
      <c r="B79" s="7"/>
      <c r="C79" s="4" t="s">
        <v>52</v>
      </c>
      <c r="D79" t="s">
        <v>221</v>
      </c>
      <c r="E79" s="12">
        <v>2</v>
      </c>
    </row>
    <row r="80" spans="2:5" ht="15.75" x14ac:dyDescent="0.25">
      <c r="B80" s="7"/>
      <c r="C80" s="4" t="s">
        <v>53</v>
      </c>
      <c r="D80" t="s">
        <v>222</v>
      </c>
      <c r="E80" s="12">
        <v>2</v>
      </c>
    </row>
    <row r="81" spans="2:5" ht="15.75" x14ac:dyDescent="0.25">
      <c r="B81" s="7"/>
      <c r="C81" s="4" t="s">
        <v>54</v>
      </c>
      <c r="D81" t="s">
        <v>223</v>
      </c>
      <c r="E81" s="12">
        <v>2</v>
      </c>
    </row>
    <row r="82" spans="2:5" ht="15.75" x14ac:dyDescent="0.25">
      <c r="B82" s="7"/>
      <c r="C82" s="4" t="s">
        <v>56</v>
      </c>
      <c r="D82" t="s">
        <v>232</v>
      </c>
      <c r="E82" s="12">
        <v>2</v>
      </c>
    </row>
    <row r="83" spans="2:5" ht="15.75" x14ac:dyDescent="0.25">
      <c r="B83" s="7"/>
      <c r="C83" s="4" t="s">
        <v>57</v>
      </c>
      <c r="D83" t="s">
        <v>244</v>
      </c>
      <c r="E83" s="12">
        <v>2</v>
      </c>
    </row>
    <row r="84" spans="2:5" ht="15.75" x14ac:dyDescent="0.25">
      <c r="B84" s="7"/>
      <c r="C84" s="4" t="s">
        <v>58</v>
      </c>
      <c r="D84" t="s">
        <v>256</v>
      </c>
      <c r="E84" s="12">
        <v>2</v>
      </c>
    </row>
    <row r="85" spans="2:5" ht="15.75" x14ac:dyDescent="0.25">
      <c r="B85" s="7"/>
      <c r="C85" s="4" t="s">
        <v>59</v>
      </c>
      <c r="D85" t="s">
        <v>268</v>
      </c>
      <c r="E85" s="12">
        <v>2</v>
      </c>
    </row>
    <row r="86" spans="2:5" ht="15.75" x14ac:dyDescent="0.25">
      <c r="B86" s="7"/>
      <c r="C86" s="4" t="s">
        <v>60</v>
      </c>
      <c r="D86" t="s">
        <v>271</v>
      </c>
      <c r="E86" s="12">
        <v>2</v>
      </c>
    </row>
    <row r="87" spans="2:5" ht="15.75" x14ac:dyDescent="0.25">
      <c r="B87" s="7"/>
      <c r="C87" s="4" t="s">
        <v>61</v>
      </c>
      <c r="D87" t="s">
        <v>272</v>
      </c>
      <c r="E87" s="12">
        <v>2</v>
      </c>
    </row>
    <row r="88" spans="2:5" ht="15.75" x14ac:dyDescent="0.25">
      <c r="B88" s="7"/>
      <c r="C88" s="4" t="s">
        <v>62</v>
      </c>
      <c r="D88" t="s">
        <v>273</v>
      </c>
      <c r="E88" s="12">
        <v>2</v>
      </c>
    </row>
    <row r="89" spans="2:5" ht="15.75" x14ac:dyDescent="0.25">
      <c r="B89" s="7"/>
      <c r="C89" s="4" t="s">
        <v>63</v>
      </c>
      <c r="D89" t="s">
        <v>274</v>
      </c>
      <c r="E89" s="12">
        <v>2</v>
      </c>
    </row>
    <row r="90" spans="2:5" ht="15.75" x14ac:dyDescent="0.25">
      <c r="B90" s="7"/>
      <c r="C90" s="4" t="s">
        <v>64</v>
      </c>
      <c r="D90" t="s">
        <v>275</v>
      </c>
      <c r="E90" s="12">
        <v>2</v>
      </c>
    </row>
    <row r="91" spans="2:5" ht="15.75" x14ac:dyDescent="0.25">
      <c r="B91" s="7"/>
      <c r="C91" s="4" t="s">
        <v>65</v>
      </c>
      <c r="D91" t="s">
        <v>276</v>
      </c>
      <c r="E91" s="12">
        <v>2</v>
      </c>
    </row>
    <row r="92" spans="2:5" ht="15.75" x14ac:dyDescent="0.25">
      <c r="B92" s="7"/>
      <c r="C92" s="4" t="s">
        <v>95</v>
      </c>
      <c r="D92" t="s">
        <v>277</v>
      </c>
      <c r="E92" s="12">
        <v>2</v>
      </c>
    </row>
    <row r="93" spans="2:5" ht="15.75" x14ac:dyDescent="0.25">
      <c r="B93" s="7"/>
      <c r="C93" s="4" t="s">
        <v>96</v>
      </c>
      <c r="D93" t="s">
        <v>278</v>
      </c>
      <c r="E93" s="12">
        <v>2</v>
      </c>
    </row>
    <row r="94" spans="2:5" ht="15.75" x14ac:dyDescent="0.25">
      <c r="B94" s="7"/>
      <c r="C94" s="4" t="s">
        <v>97</v>
      </c>
      <c r="D94" t="s">
        <v>279</v>
      </c>
      <c r="E94" s="12">
        <v>2</v>
      </c>
    </row>
    <row r="95" spans="2:5" ht="15.75" x14ac:dyDescent="0.25">
      <c r="B95" s="7"/>
      <c r="C95" s="4" t="s">
        <v>98</v>
      </c>
      <c r="D95" t="s">
        <v>280</v>
      </c>
      <c r="E95" s="12">
        <v>2</v>
      </c>
    </row>
    <row r="96" spans="2:5" ht="15.75" x14ac:dyDescent="0.25">
      <c r="B96" s="7"/>
      <c r="C96" s="4" t="s">
        <v>99</v>
      </c>
      <c r="D96" t="s">
        <v>281</v>
      </c>
      <c r="E96" s="12">
        <v>2</v>
      </c>
    </row>
    <row r="97" spans="2:5" ht="15.75" x14ac:dyDescent="0.25">
      <c r="B97" s="7"/>
      <c r="C97" s="4" t="s">
        <v>100</v>
      </c>
      <c r="D97" t="s">
        <v>282</v>
      </c>
      <c r="E97" s="12">
        <v>2</v>
      </c>
    </row>
    <row r="98" spans="2:5" ht="15.75" x14ac:dyDescent="0.25">
      <c r="B98" s="7"/>
      <c r="C98" s="4" t="s">
        <v>101</v>
      </c>
      <c r="D98" t="s">
        <v>283</v>
      </c>
      <c r="E98" s="12">
        <v>2</v>
      </c>
    </row>
    <row r="99" spans="2:5" ht="15.75" x14ac:dyDescent="0.25">
      <c r="B99" s="7"/>
      <c r="C99" s="4" t="s">
        <v>102</v>
      </c>
      <c r="D99" t="s">
        <v>284</v>
      </c>
      <c r="E99" s="12">
        <v>2</v>
      </c>
    </row>
    <row r="100" spans="2:5" ht="15.75" x14ac:dyDescent="0.25">
      <c r="B100" s="7"/>
      <c r="C100" s="4" t="s">
        <v>103</v>
      </c>
      <c r="D100" t="s">
        <v>285</v>
      </c>
      <c r="E100" s="12">
        <v>2</v>
      </c>
    </row>
    <row r="101" spans="2:5" ht="15.75" x14ac:dyDescent="0.25">
      <c r="B101" s="7"/>
      <c r="C101" s="4" t="s">
        <v>104</v>
      </c>
      <c r="D101" t="s">
        <v>286</v>
      </c>
      <c r="E101" s="12">
        <v>2</v>
      </c>
    </row>
    <row r="102" spans="2:5" ht="15.75" x14ac:dyDescent="0.25">
      <c r="B102" s="7"/>
      <c r="C102" s="4" t="s">
        <v>105</v>
      </c>
      <c r="D102" t="s">
        <v>287</v>
      </c>
      <c r="E102" s="12">
        <v>2</v>
      </c>
    </row>
    <row r="103" spans="2:5" ht="15.75" x14ac:dyDescent="0.25">
      <c r="B103" s="7"/>
      <c r="C103" s="4" t="s">
        <v>106</v>
      </c>
      <c r="D103" t="s">
        <v>288</v>
      </c>
      <c r="E103" s="12">
        <v>2</v>
      </c>
    </row>
    <row r="104" spans="2:5" ht="15.75" x14ac:dyDescent="0.25">
      <c r="B104" s="7"/>
      <c r="C104" s="4" t="s">
        <v>107</v>
      </c>
      <c r="D104" t="s">
        <v>289</v>
      </c>
      <c r="E104" s="12">
        <v>2</v>
      </c>
    </row>
    <row r="105" spans="2:5" ht="15.75" x14ac:dyDescent="0.25">
      <c r="B105" s="7"/>
      <c r="C105" s="4" t="s">
        <v>108</v>
      </c>
      <c r="D105" t="s">
        <v>290</v>
      </c>
      <c r="E105" s="12">
        <v>2</v>
      </c>
    </row>
    <row r="106" spans="2:5" ht="15.75" x14ac:dyDescent="0.25">
      <c r="B106" s="7"/>
      <c r="C106" s="4" t="s">
        <v>109</v>
      </c>
      <c r="D106" t="s">
        <v>291</v>
      </c>
      <c r="E106" s="12">
        <v>2</v>
      </c>
    </row>
    <row r="107" spans="2:5" ht="15.75" x14ac:dyDescent="0.25">
      <c r="B107" s="7"/>
      <c r="C107" s="4" t="s">
        <v>110</v>
      </c>
      <c r="D107" t="s">
        <v>292</v>
      </c>
      <c r="E107" s="12">
        <v>2</v>
      </c>
    </row>
    <row r="108" spans="2:5" ht="15.75" x14ac:dyDescent="0.25">
      <c r="B108" s="7"/>
      <c r="C108" s="4" t="s">
        <v>111</v>
      </c>
      <c r="D108" t="s">
        <v>293</v>
      </c>
      <c r="E108" s="12">
        <v>2</v>
      </c>
    </row>
    <row r="109" spans="2:5" ht="15.75" x14ac:dyDescent="0.25">
      <c r="B109" s="7"/>
      <c r="C109" s="4" t="s">
        <v>112</v>
      </c>
      <c r="D109" t="s">
        <v>294</v>
      </c>
      <c r="E109" s="12">
        <v>2</v>
      </c>
    </row>
    <row r="110" spans="2:5" ht="15.75" x14ac:dyDescent="0.25">
      <c r="B110" s="7"/>
      <c r="C110" s="4" t="s">
        <v>113</v>
      </c>
      <c r="D110" t="s">
        <v>295</v>
      </c>
      <c r="E110" s="12">
        <v>2</v>
      </c>
    </row>
    <row r="111" spans="2:5" ht="15.75" x14ac:dyDescent="0.25">
      <c r="B111" s="7"/>
      <c r="C111" s="4" t="s">
        <v>114</v>
      </c>
      <c r="D111" t="s">
        <v>296</v>
      </c>
      <c r="E111" s="12">
        <v>2</v>
      </c>
    </row>
    <row r="112" spans="2:5" ht="15.75" x14ac:dyDescent="0.25">
      <c r="B112" s="7"/>
      <c r="C112" s="4" t="s">
        <v>115</v>
      </c>
      <c r="D112" t="s">
        <v>297</v>
      </c>
      <c r="E112" s="12">
        <v>2</v>
      </c>
    </row>
    <row r="113" spans="2:5" ht="15.75" x14ac:dyDescent="0.25">
      <c r="B113" s="7"/>
      <c r="C113" s="4" t="s">
        <v>116</v>
      </c>
      <c r="D113" t="s">
        <v>298</v>
      </c>
      <c r="E113" s="12">
        <v>2</v>
      </c>
    </row>
    <row r="114" spans="2:5" ht="15.75" x14ac:dyDescent="0.25">
      <c r="B114" s="7"/>
      <c r="C114" s="4" t="s">
        <v>117</v>
      </c>
      <c r="D114" t="s">
        <v>299</v>
      </c>
      <c r="E114" s="12">
        <v>2</v>
      </c>
    </row>
    <row r="115" spans="2:5" ht="15.75" x14ac:dyDescent="0.25">
      <c r="B115" s="7"/>
      <c r="C115" s="4" t="s">
        <v>118</v>
      </c>
      <c r="D115" t="s">
        <v>300</v>
      </c>
      <c r="E115" s="12">
        <v>2</v>
      </c>
    </row>
    <row r="116" spans="2:5" ht="15.75" x14ac:dyDescent="0.25">
      <c r="B116" s="7"/>
      <c r="C116" s="4" t="s">
        <v>119</v>
      </c>
      <c r="D116" t="s">
        <v>301</v>
      </c>
      <c r="E116" s="12">
        <v>2</v>
      </c>
    </row>
    <row r="117" spans="2:5" ht="15.75" x14ac:dyDescent="0.25">
      <c r="B117" s="7"/>
      <c r="C117" s="4" t="s">
        <v>120</v>
      </c>
      <c r="D117" t="s">
        <v>302</v>
      </c>
      <c r="E117" s="12">
        <v>2</v>
      </c>
    </row>
    <row r="118" spans="2:5" ht="15.75" x14ac:dyDescent="0.25">
      <c r="B118" s="7"/>
      <c r="C118" s="4" t="s">
        <v>121</v>
      </c>
      <c r="D118" t="s">
        <v>303</v>
      </c>
      <c r="E118" s="12">
        <v>2</v>
      </c>
    </row>
    <row r="119" spans="2:5" ht="15.75" x14ac:dyDescent="0.25">
      <c r="B119" s="7"/>
      <c r="C119" s="4" t="s">
        <v>122</v>
      </c>
      <c r="D119" t="s">
        <v>304</v>
      </c>
      <c r="E119" s="12">
        <v>2</v>
      </c>
    </row>
    <row r="120" spans="2:5" ht="15.75" x14ac:dyDescent="0.25">
      <c r="B120" s="7"/>
      <c r="C120" s="4" t="s">
        <v>123</v>
      </c>
      <c r="D120" t="s">
        <v>305</v>
      </c>
      <c r="E120" s="12">
        <v>2</v>
      </c>
    </row>
    <row r="121" spans="2:5" ht="15.75" x14ac:dyDescent="0.25">
      <c r="B121" s="7"/>
      <c r="C121" s="4" t="s">
        <v>124</v>
      </c>
      <c r="D121" t="s">
        <v>306</v>
      </c>
      <c r="E121" s="12">
        <v>2</v>
      </c>
    </row>
    <row r="122" spans="2:5" ht="15.75" x14ac:dyDescent="0.25">
      <c r="B122" s="7"/>
      <c r="C122" s="4" t="s">
        <v>125</v>
      </c>
      <c r="D122" t="s">
        <v>307</v>
      </c>
      <c r="E122" s="12">
        <v>2</v>
      </c>
    </row>
    <row r="123" spans="2:5" ht="15.75" x14ac:dyDescent="0.25">
      <c r="B123" s="7"/>
      <c r="C123" s="4" t="s">
        <v>126</v>
      </c>
      <c r="D123" t="s">
        <v>308</v>
      </c>
      <c r="E123" s="12">
        <v>2</v>
      </c>
    </row>
    <row r="124" spans="2:5" ht="15.75" x14ac:dyDescent="0.25">
      <c r="B124" s="7"/>
      <c r="C124" s="4" t="s">
        <v>127</v>
      </c>
      <c r="D124" t="s">
        <v>309</v>
      </c>
      <c r="E124" s="12">
        <v>2</v>
      </c>
    </row>
    <row r="125" spans="2:5" ht="15.75" x14ac:dyDescent="0.25">
      <c r="B125" s="7"/>
      <c r="C125" s="4" t="s">
        <v>128</v>
      </c>
      <c r="D125" t="s">
        <v>310</v>
      </c>
      <c r="E125" s="12">
        <v>2</v>
      </c>
    </row>
    <row r="126" spans="2:5" ht="15.75" x14ac:dyDescent="0.25">
      <c r="B126" s="7"/>
      <c r="C126" s="4" t="s">
        <v>129</v>
      </c>
      <c r="D126" t="s">
        <v>311</v>
      </c>
      <c r="E126" s="12">
        <v>2</v>
      </c>
    </row>
    <row r="127" spans="2:5" ht="15.75" x14ac:dyDescent="0.25">
      <c r="B127" s="7"/>
      <c r="C127" s="4" t="s">
        <v>130</v>
      </c>
      <c r="D127" t="s">
        <v>312</v>
      </c>
      <c r="E127" s="12">
        <v>2</v>
      </c>
    </row>
    <row r="128" spans="2:5" ht="15.75" x14ac:dyDescent="0.25">
      <c r="B128" s="7"/>
      <c r="C128" s="4" t="s">
        <v>131</v>
      </c>
      <c r="D128" t="s">
        <v>313</v>
      </c>
      <c r="E128" s="12">
        <v>2</v>
      </c>
    </row>
    <row r="129" spans="2:5" ht="15.75" x14ac:dyDescent="0.25">
      <c r="B129" s="7"/>
      <c r="C129" s="4" t="s">
        <v>132</v>
      </c>
      <c r="D129" t="s">
        <v>314</v>
      </c>
      <c r="E129" s="12">
        <v>2</v>
      </c>
    </row>
    <row r="130" spans="2:5" ht="15.75" x14ac:dyDescent="0.25">
      <c r="B130" s="7"/>
      <c r="C130" s="4" t="s">
        <v>133</v>
      </c>
      <c r="D130" t="s">
        <v>315</v>
      </c>
      <c r="E130" s="12">
        <v>2</v>
      </c>
    </row>
    <row r="131" spans="2:5" ht="15.75" x14ac:dyDescent="0.25">
      <c r="B131" s="7"/>
      <c r="C131" s="4" t="s">
        <v>134</v>
      </c>
      <c r="D131" t="s">
        <v>316</v>
      </c>
      <c r="E131" s="12">
        <v>2</v>
      </c>
    </row>
    <row r="132" spans="2:5" ht="15.75" x14ac:dyDescent="0.25">
      <c r="B132" s="7"/>
      <c r="C132" s="4" t="s">
        <v>135</v>
      </c>
      <c r="D132" t="s">
        <v>317</v>
      </c>
      <c r="E132" s="12">
        <v>2</v>
      </c>
    </row>
    <row r="133" spans="2:5" ht="15.75" x14ac:dyDescent="0.25">
      <c r="B133" s="7"/>
      <c r="C133" s="4" t="s">
        <v>136</v>
      </c>
      <c r="D133" t="s">
        <v>318</v>
      </c>
      <c r="E133" s="12">
        <v>2</v>
      </c>
    </row>
    <row r="134" spans="2:5" ht="15.75" x14ac:dyDescent="0.25">
      <c r="B134" s="7"/>
      <c r="C134" s="4" t="s">
        <v>137</v>
      </c>
      <c r="D134" t="s">
        <v>319</v>
      </c>
      <c r="E134" s="12">
        <v>2</v>
      </c>
    </row>
    <row r="135" spans="2:5" ht="15.75" x14ac:dyDescent="0.25">
      <c r="B135" s="7"/>
      <c r="C135" s="4" t="s">
        <v>138</v>
      </c>
      <c r="D135" t="s">
        <v>320</v>
      </c>
      <c r="E135" s="12">
        <v>2</v>
      </c>
    </row>
    <row r="136" spans="2:5" ht="15.75" x14ac:dyDescent="0.25">
      <c r="B136" s="7"/>
      <c r="C136" s="4" t="s">
        <v>139</v>
      </c>
      <c r="D136" t="s">
        <v>321</v>
      </c>
      <c r="E136" s="12">
        <v>2</v>
      </c>
    </row>
    <row r="137" spans="2:5" ht="15.75" x14ac:dyDescent="0.25">
      <c r="B137" s="7"/>
      <c r="C137" s="4" t="s">
        <v>140</v>
      </c>
      <c r="D137" t="s">
        <v>322</v>
      </c>
      <c r="E137" s="12">
        <v>2</v>
      </c>
    </row>
    <row r="138" spans="2:5" ht="15.75" x14ac:dyDescent="0.25">
      <c r="B138" s="7"/>
      <c r="C138" s="4" t="s">
        <v>141</v>
      </c>
      <c r="D138" t="s">
        <v>323</v>
      </c>
      <c r="E138" s="12">
        <v>2</v>
      </c>
    </row>
    <row r="139" spans="2:5" ht="15.75" x14ac:dyDescent="0.25">
      <c r="B139" s="7"/>
      <c r="C139" s="4" t="s">
        <v>142</v>
      </c>
      <c r="D139" t="s">
        <v>324</v>
      </c>
      <c r="E139" s="12">
        <v>2</v>
      </c>
    </row>
    <row r="140" spans="2:5" ht="15.75" x14ac:dyDescent="0.25">
      <c r="B140" s="7"/>
      <c r="C140" s="4" t="s">
        <v>143</v>
      </c>
      <c r="D140" t="s">
        <v>325</v>
      </c>
      <c r="E140" s="12">
        <v>2</v>
      </c>
    </row>
    <row r="141" spans="2:5" ht="15.75" x14ac:dyDescent="0.25">
      <c r="B141" s="7"/>
      <c r="C141" s="4" t="s">
        <v>144</v>
      </c>
      <c r="D141" t="s">
        <v>326</v>
      </c>
      <c r="E141" s="12">
        <v>2</v>
      </c>
    </row>
    <row r="142" spans="2:5" ht="15.75" x14ac:dyDescent="0.25">
      <c r="B142" s="7"/>
      <c r="C142" s="4" t="s">
        <v>145</v>
      </c>
      <c r="D142" t="s">
        <v>327</v>
      </c>
      <c r="E142" s="12">
        <v>2</v>
      </c>
    </row>
    <row r="143" spans="2:5" ht="15.75" x14ac:dyDescent="0.25">
      <c r="B143" s="7"/>
      <c r="C143" s="4" t="s">
        <v>146</v>
      </c>
      <c r="D143" t="s">
        <v>328</v>
      </c>
      <c r="E143" s="12">
        <v>2</v>
      </c>
    </row>
    <row r="144" spans="2:5" ht="15.75" x14ac:dyDescent="0.25">
      <c r="B144" s="7"/>
      <c r="C144" s="4" t="s">
        <v>147</v>
      </c>
      <c r="D144" t="s">
        <v>329</v>
      </c>
      <c r="E144" s="12">
        <v>2</v>
      </c>
    </row>
    <row r="145" spans="2:5" ht="15.75" x14ac:dyDescent="0.25">
      <c r="B145" s="7"/>
      <c r="C145" s="4" t="s">
        <v>224</v>
      </c>
      <c r="D145" t="s">
        <v>330</v>
      </c>
      <c r="E145" s="12">
        <v>2</v>
      </c>
    </row>
    <row r="146" spans="2:5" ht="15.75" x14ac:dyDescent="0.25">
      <c r="B146" s="7"/>
      <c r="C146" s="4" t="s">
        <v>225</v>
      </c>
      <c r="D146" t="s">
        <v>331</v>
      </c>
      <c r="E146" s="12">
        <v>2</v>
      </c>
    </row>
    <row r="147" spans="2:5" ht="15.75" x14ac:dyDescent="0.25">
      <c r="B147" s="7"/>
      <c r="C147" s="4" t="s">
        <v>226</v>
      </c>
      <c r="D147" t="s">
        <v>332</v>
      </c>
      <c r="E147" s="12">
        <v>2</v>
      </c>
    </row>
    <row r="148" spans="2:5" ht="15.75" x14ac:dyDescent="0.25">
      <c r="B148" s="7"/>
      <c r="C148" s="4" t="s">
        <v>227</v>
      </c>
      <c r="D148" t="s">
        <v>333</v>
      </c>
      <c r="E148" s="12">
        <v>2</v>
      </c>
    </row>
    <row r="149" spans="2:5" ht="15.75" x14ac:dyDescent="0.25">
      <c r="B149" s="7"/>
      <c r="C149" s="4" t="s">
        <v>228</v>
      </c>
      <c r="D149" t="s">
        <v>334</v>
      </c>
      <c r="E149" s="12">
        <v>2</v>
      </c>
    </row>
    <row r="150" spans="2:5" ht="15.75" x14ac:dyDescent="0.25">
      <c r="B150" s="7"/>
      <c r="C150" s="4" t="s">
        <v>229</v>
      </c>
      <c r="D150" t="s">
        <v>335</v>
      </c>
      <c r="E150" s="12">
        <v>2</v>
      </c>
    </row>
    <row r="151" spans="2:5" ht="15.75" x14ac:dyDescent="0.25">
      <c r="B151" s="7"/>
      <c r="C151" s="4" t="s">
        <v>230</v>
      </c>
      <c r="D151" t="s">
        <v>336</v>
      </c>
      <c r="E151" s="12">
        <v>2</v>
      </c>
    </row>
    <row r="152" spans="2:5" ht="15.75" x14ac:dyDescent="0.25">
      <c r="B152" s="7"/>
      <c r="C152" s="4" t="s">
        <v>231</v>
      </c>
      <c r="D152" t="s">
        <v>337</v>
      </c>
      <c r="E152" s="12">
        <v>2</v>
      </c>
    </row>
    <row r="153" spans="2:5" ht="15.75" x14ac:dyDescent="0.25">
      <c r="B153" s="7"/>
      <c r="C153" s="4" t="s">
        <v>233</v>
      </c>
      <c r="D153" t="s">
        <v>338</v>
      </c>
      <c r="E153" s="12">
        <v>2</v>
      </c>
    </row>
    <row r="154" spans="2:5" ht="15.75" x14ac:dyDescent="0.25">
      <c r="B154" s="7"/>
      <c r="C154" s="4" t="s">
        <v>234</v>
      </c>
      <c r="D154" t="s">
        <v>339</v>
      </c>
      <c r="E154" s="12">
        <v>2</v>
      </c>
    </row>
    <row r="155" spans="2:5" ht="15.75" x14ac:dyDescent="0.25">
      <c r="B155" s="7"/>
      <c r="C155" s="4" t="s">
        <v>235</v>
      </c>
      <c r="D155" t="s">
        <v>340</v>
      </c>
      <c r="E155" s="12">
        <v>2</v>
      </c>
    </row>
    <row r="156" spans="2:5" ht="15.75" x14ac:dyDescent="0.25">
      <c r="B156" s="7"/>
      <c r="C156" s="4" t="s">
        <v>236</v>
      </c>
      <c r="D156" t="s">
        <v>341</v>
      </c>
      <c r="E156" s="12">
        <v>2</v>
      </c>
    </row>
    <row r="157" spans="2:5" ht="15.75" x14ac:dyDescent="0.25">
      <c r="B157" s="7"/>
      <c r="C157" s="4" t="s">
        <v>237</v>
      </c>
      <c r="D157" t="s">
        <v>342</v>
      </c>
      <c r="E157" s="12">
        <v>2</v>
      </c>
    </row>
    <row r="158" spans="2:5" ht="15.75" x14ac:dyDescent="0.25">
      <c r="B158" s="7"/>
      <c r="C158" s="4" t="s">
        <v>238</v>
      </c>
      <c r="D158" t="s">
        <v>343</v>
      </c>
      <c r="E158" s="12">
        <v>2</v>
      </c>
    </row>
    <row r="159" spans="2:5" ht="15.75" x14ac:dyDescent="0.25">
      <c r="B159" s="7"/>
      <c r="C159" s="4" t="s">
        <v>239</v>
      </c>
      <c r="D159" t="s">
        <v>344</v>
      </c>
      <c r="E159" s="12">
        <v>2</v>
      </c>
    </row>
    <row r="160" spans="2:5" ht="15.75" x14ac:dyDescent="0.25">
      <c r="B160" s="7"/>
      <c r="C160" s="4" t="s">
        <v>240</v>
      </c>
      <c r="D160" t="s">
        <v>345</v>
      </c>
      <c r="E160" s="12">
        <v>2</v>
      </c>
    </row>
    <row r="161" spans="2:6" ht="15.75" x14ac:dyDescent="0.25">
      <c r="B161" s="7"/>
      <c r="C161" s="4" t="s">
        <v>241</v>
      </c>
      <c r="D161" t="s">
        <v>346</v>
      </c>
      <c r="E161" s="12">
        <v>2</v>
      </c>
    </row>
    <row r="162" spans="2:6" ht="15.75" x14ac:dyDescent="0.25">
      <c r="B162" s="7"/>
      <c r="C162" s="4" t="s">
        <v>242</v>
      </c>
      <c r="D162" t="s">
        <v>347</v>
      </c>
      <c r="E162" s="12">
        <v>2</v>
      </c>
    </row>
    <row r="163" spans="2:6" ht="15.75" x14ac:dyDescent="0.25">
      <c r="B163" s="7"/>
      <c r="C163" s="4" t="s">
        <v>243</v>
      </c>
      <c r="D163" t="s">
        <v>348</v>
      </c>
      <c r="E163" s="12">
        <v>2</v>
      </c>
    </row>
    <row r="164" spans="2:6" ht="15.75" x14ac:dyDescent="0.25">
      <c r="B164" s="7"/>
      <c r="C164" s="4" t="s">
        <v>245</v>
      </c>
      <c r="D164" t="s">
        <v>349</v>
      </c>
      <c r="E164" s="12">
        <v>2</v>
      </c>
    </row>
    <row r="165" spans="2:6" ht="18.75" x14ac:dyDescent="0.3">
      <c r="B165" s="6"/>
      <c r="C165" s="4" t="s">
        <v>246</v>
      </c>
      <c r="D165" t="s">
        <v>195</v>
      </c>
      <c r="E165" s="12">
        <v>2</v>
      </c>
    </row>
    <row r="166" spans="2:6" ht="18.75" x14ac:dyDescent="0.3">
      <c r="B166" s="6"/>
      <c r="C166" s="4" t="s">
        <v>247</v>
      </c>
      <c r="D166" t="s">
        <v>196</v>
      </c>
      <c r="E166" s="12">
        <v>2</v>
      </c>
      <c r="F166" s="18"/>
    </row>
    <row r="167" spans="2:6" ht="15.75" x14ac:dyDescent="0.25">
      <c r="B167" s="7"/>
      <c r="C167" s="4" t="s">
        <v>248</v>
      </c>
      <c r="D167" t="s">
        <v>197</v>
      </c>
      <c r="E167" s="12">
        <v>2</v>
      </c>
    </row>
    <row r="168" spans="2:6" ht="15.75" x14ac:dyDescent="0.25">
      <c r="B168" s="7"/>
      <c r="C168" s="4" t="s">
        <v>249</v>
      </c>
      <c r="D168" t="s">
        <v>198</v>
      </c>
      <c r="E168" s="12">
        <v>2</v>
      </c>
      <c r="F168" s="18"/>
    </row>
    <row r="169" spans="2:6" ht="15.75" x14ac:dyDescent="0.25">
      <c r="B169" s="7"/>
      <c r="C169" s="4" t="s">
        <v>250</v>
      </c>
      <c r="D169" t="s">
        <v>199</v>
      </c>
      <c r="E169" s="12">
        <v>2</v>
      </c>
    </row>
    <row r="170" spans="2:6" ht="15.75" x14ac:dyDescent="0.25">
      <c r="B170" s="7"/>
      <c r="C170" s="4" t="s">
        <v>251</v>
      </c>
      <c r="D170" t="s">
        <v>200</v>
      </c>
      <c r="E170" s="12">
        <v>2</v>
      </c>
    </row>
    <row r="171" spans="2:6" ht="15.75" x14ac:dyDescent="0.25">
      <c r="B171" s="7"/>
      <c r="C171" s="4" t="s">
        <v>252</v>
      </c>
      <c r="D171" t="s">
        <v>201</v>
      </c>
      <c r="E171" s="12">
        <v>2</v>
      </c>
    </row>
    <row r="172" spans="2:6" ht="15.75" x14ac:dyDescent="0.25">
      <c r="B172" s="7"/>
      <c r="C172" s="4" t="s">
        <v>253</v>
      </c>
      <c r="D172" t="s">
        <v>202</v>
      </c>
      <c r="E172" s="12">
        <v>2</v>
      </c>
    </row>
    <row r="173" spans="2:6" ht="15.75" x14ac:dyDescent="0.25">
      <c r="B173" s="7"/>
      <c r="C173" s="4" t="s">
        <v>254</v>
      </c>
      <c r="D173" t="s">
        <v>203</v>
      </c>
      <c r="E173" s="12">
        <v>2</v>
      </c>
    </row>
    <row r="174" spans="2:6" ht="15.75" x14ac:dyDescent="0.25">
      <c r="B174" s="7"/>
      <c r="C174" s="4" t="s">
        <v>255</v>
      </c>
      <c r="D174" t="s">
        <v>204</v>
      </c>
      <c r="E174" s="12">
        <v>2</v>
      </c>
    </row>
    <row r="175" spans="2:6" ht="15.75" x14ac:dyDescent="0.25">
      <c r="B175" s="7"/>
      <c r="C175" s="4" t="s">
        <v>257</v>
      </c>
      <c r="D175" t="s">
        <v>206</v>
      </c>
      <c r="E175" s="12">
        <v>2</v>
      </c>
    </row>
    <row r="176" spans="2:6" ht="15.75" x14ac:dyDescent="0.25">
      <c r="B176" s="7"/>
      <c r="C176" s="4" t="s">
        <v>258</v>
      </c>
      <c r="D176" t="s">
        <v>207</v>
      </c>
      <c r="E176" s="12">
        <v>2</v>
      </c>
    </row>
    <row r="177" spans="2:5" ht="15.75" x14ac:dyDescent="0.25">
      <c r="B177" s="7"/>
      <c r="C177" s="4" t="s">
        <v>259</v>
      </c>
      <c r="D177" t="s">
        <v>208</v>
      </c>
      <c r="E177" s="12">
        <v>2</v>
      </c>
    </row>
    <row r="178" spans="2:5" ht="15.75" x14ac:dyDescent="0.25">
      <c r="B178" s="7"/>
      <c r="C178" s="4" t="s">
        <v>260</v>
      </c>
      <c r="D178" t="s">
        <v>209</v>
      </c>
      <c r="E178" s="12">
        <v>2</v>
      </c>
    </row>
    <row r="179" spans="2:5" ht="15.75" x14ac:dyDescent="0.25">
      <c r="B179" s="7"/>
      <c r="C179" s="4" t="s">
        <v>261</v>
      </c>
      <c r="D179" t="s">
        <v>210</v>
      </c>
      <c r="E179" s="12">
        <v>2</v>
      </c>
    </row>
    <row r="180" spans="2:5" ht="18.75" x14ac:dyDescent="0.3">
      <c r="B180" s="6"/>
      <c r="C180" s="4" t="s">
        <v>262</v>
      </c>
      <c r="D180" t="s">
        <v>211</v>
      </c>
      <c r="E180" s="12">
        <v>2</v>
      </c>
    </row>
    <row r="181" spans="2:5" x14ac:dyDescent="0.25">
      <c r="C181" s="4" t="s">
        <v>263</v>
      </c>
      <c r="D181" t="s">
        <v>212</v>
      </c>
      <c r="E181" s="12">
        <v>2</v>
      </c>
    </row>
    <row r="182" spans="2:5" x14ac:dyDescent="0.25">
      <c r="C182" s="4" t="s">
        <v>264</v>
      </c>
      <c r="D182" t="s">
        <v>213</v>
      </c>
      <c r="E182" s="12">
        <v>2</v>
      </c>
    </row>
    <row r="183" spans="2:5" x14ac:dyDescent="0.25">
      <c r="C183" s="4" t="s">
        <v>265</v>
      </c>
      <c r="D183" t="s">
        <v>214</v>
      </c>
      <c r="E183" s="12">
        <v>2</v>
      </c>
    </row>
    <row r="184" spans="2:5" x14ac:dyDescent="0.25">
      <c r="C184" s="4" t="s">
        <v>266</v>
      </c>
      <c r="D184" t="s">
        <v>215</v>
      </c>
      <c r="E184" s="12">
        <v>2</v>
      </c>
    </row>
    <row r="185" spans="2:5" x14ac:dyDescent="0.25">
      <c r="C185" s="4" t="s">
        <v>267</v>
      </c>
      <c r="D185" t="s">
        <v>217</v>
      </c>
      <c r="E185" s="12">
        <v>2</v>
      </c>
    </row>
    <row r="186" spans="2:5" x14ac:dyDescent="0.25">
      <c r="C186" s="4" t="s">
        <v>269</v>
      </c>
      <c r="D186" t="s">
        <v>218</v>
      </c>
      <c r="E186" s="12">
        <v>2</v>
      </c>
    </row>
    <row r="187" spans="2:5" x14ac:dyDescent="0.25">
      <c r="C187" s="4" t="s">
        <v>270</v>
      </c>
      <c r="D187" t="s">
        <v>219</v>
      </c>
      <c r="E187" s="12">
        <v>1</v>
      </c>
    </row>
    <row r="188" spans="2:5" ht="18.75" x14ac:dyDescent="0.3">
      <c r="B188" s="6" t="s">
        <v>66</v>
      </c>
      <c r="C188" s="4"/>
    </row>
    <row r="189" spans="2:5" ht="15.75" x14ac:dyDescent="0.25">
      <c r="B189" s="7" t="s">
        <v>25</v>
      </c>
      <c r="C189" s="4"/>
    </row>
    <row r="190" spans="2:5" x14ac:dyDescent="0.25">
      <c r="C190" s="4" t="s">
        <v>15</v>
      </c>
      <c r="D190" t="s">
        <v>367</v>
      </c>
      <c r="E190" s="12">
        <v>8</v>
      </c>
    </row>
    <row r="191" spans="2:5" ht="15.75" x14ac:dyDescent="0.25">
      <c r="B191" s="7" t="s">
        <v>67</v>
      </c>
      <c r="C191" s="4"/>
    </row>
    <row r="192" spans="2:5" x14ac:dyDescent="0.25">
      <c r="C192" s="4" t="s">
        <v>15</v>
      </c>
      <c r="D192" t="s">
        <v>363</v>
      </c>
      <c r="E192" s="12">
        <v>1</v>
      </c>
    </row>
    <row r="193" spans="3:5" x14ac:dyDescent="0.25">
      <c r="C193" s="4" t="s">
        <v>37</v>
      </c>
      <c r="D193" t="s">
        <v>364</v>
      </c>
      <c r="E193" s="12">
        <v>1</v>
      </c>
    </row>
    <row r="194" spans="3:5" x14ac:dyDescent="0.25">
      <c r="C194" s="4" t="s">
        <v>38</v>
      </c>
      <c r="D194" t="s">
        <v>365</v>
      </c>
      <c r="E194" s="12">
        <v>1</v>
      </c>
    </row>
    <row r="195" spans="3:5" x14ac:dyDescent="0.25">
      <c r="C195" s="4" t="s">
        <v>39</v>
      </c>
      <c r="D195" t="s">
        <v>362</v>
      </c>
      <c r="E195" s="12">
        <v>1</v>
      </c>
    </row>
    <row r="196" spans="3:5" x14ac:dyDescent="0.25">
      <c r="C196" s="4" t="s">
        <v>40</v>
      </c>
      <c r="D196" t="s">
        <v>350</v>
      </c>
      <c r="E196" s="12">
        <v>1</v>
      </c>
    </row>
    <row r="197" spans="3:5" x14ac:dyDescent="0.25">
      <c r="C197" s="4" t="s">
        <v>41</v>
      </c>
      <c r="D197" t="s">
        <v>351</v>
      </c>
      <c r="E197" s="12">
        <v>1</v>
      </c>
    </row>
    <row r="198" spans="3:5" x14ac:dyDescent="0.25">
      <c r="C198" s="4" t="s">
        <v>42</v>
      </c>
      <c r="D198" t="s">
        <v>352</v>
      </c>
      <c r="E198" s="12">
        <v>1</v>
      </c>
    </row>
    <row r="199" spans="3:5" x14ac:dyDescent="0.25">
      <c r="C199" s="4" t="s">
        <v>43</v>
      </c>
      <c r="D199" t="s">
        <v>353</v>
      </c>
      <c r="E199" s="12">
        <v>1</v>
      </c>
    </row>
    <row r="200" spans="3:5" x14ac:dyDescent="0.25">
      <c r="C200" s="4" t="s">
        <v>44</v>
      </c>
      <c r="D200" t="s">
        <v>360</v>
      </c>
      <c r="E200" s="12">
        <v>1</v>
      </c>
    </row>
    <row r="201" spans="3:5" x14ac:dyDescent="0.25">
      <c r="C201" s="4" t="s">
        <v>45</v>
      </c>
      <c r="D201" t="s">
        <v>354</v>
      </c>
      <c r="E201" s="12">
        <v>1</v>
      </c>
    </row>
    <row r="202" spans="3:5" x14ac:dyDescent="0.25">
      <c r="C202" s="4" t="s">
        <v>46</v>
      </c>
      <c r="D202" t="s">
        <v>355</v>
      </c>
      <c r="E202" s="12">
        <v>1</v>
      </c>
    </row>
    <row r="203" spans="3:5" x14ac:dyDescent="0.25">
      <c r="C203" s="4" t="s">
        <v>47</v>
      </c>
      <c r="D203" t="s">
        <v>356</v>
      </c>
      <c r="E203" s="12">
        <v>1</v>
      </c>
    </row>
    <row r="204" spans="3:5" x14ac:dyDescent="0.25">
      <c r="C204" s="4" t="s">
        <v>48</v>
      </c>
      <c r="D204" t="s">
        <v>357</v>
      </c>
      <c r="E204" s="12">
        <v>2</v>
      </c>
    </row>
    <row r="205" spans="3:5" x14ac:dyDescent="0.25">
      <c r="C205" s="4" t="s">
        <v>52</v>
      </c>
      <c r="D205" t="s">
        <v>358</v>
      </c>
      <c r="E205" s="12">
        <v>2</v>
      </c>
    </row>
    <row r="206" spans="3:5" x14ac:dyDescent="0.25">
      <c r="C206" s="4" t="s">
        <v>53</v>
      </c>
      <c r="D206" t="s">
        <v>359</v>
      </c>
      <c r="E206" s="12">
        <v>1</v>
      </c>
    </row>
    <row r="207" spans="3:5" x14ac:dyDescent="0.25">
      <c r="C207" s="4"/>
    </row>
    <row r="208" spans="3:5" x14ac:dyDescent="0.25">
      <c r="C208" s="4"/>
    </row>
    <row r="209" spans="2:3" x14ac:dyDescent="0.25">
      <c r="C209" s="4"/>
    </row>
    <row r="210" spans="2:3" x14ac:dyDescent="0.25">
      <c r="C210" s="4"/>
    </row>
    <row r="211" spans="2:3" x14ac:dyDescent="0.25">
      <c r="C211" s="4"/>
    </row>
    <row r="212" spans="2:3" x14ac:dyDescent="0.25">
      <c r="C212" s="4"/>
    </row>
    <row r="213" spans="2:3" x14ac:dyDescent="0.25">
      <c r="C213" s="4"/>
    </row>
    <row r="214" spans="2:3" x14ac:dyDescent="0.25">
      <c r="C214" s="4"/>
    </row>
    <row r="215" spans="2:3" x14ac:dyDescent="0.25">
      <c r="C215" s="4"/>
    </row>
    <row r="216" spans="2:3" x14ac:dyDescent="0.25">
      <c r="C216" s="4"/>
    </row>
    <row r="217" spans="2:3" x14ac:dyDescent="0.25">
      <c r="C217" s="4"/>
    </row>
    <row r="218" spans="2:3" x14ac:dyDescent="0.25">
      <c r="C218" s="4"/>
    </row>
    <row r="219" spans="2:3" x14ac:dyDescent="0.25">
      <c r="C219" s="4"/>
    </row>
    <row r="220" spans="2:3" x14ac:dyDescent="0.25">
      <c r="C220" s="4"/>
    </row>
    <row r="221" spans="2:3" x14ac:dyDescent="0.25">
      <c r="C221" s="4"/>
    </row>
    <row r="222" spans="2:3" x14ac:dyDescent="0.25">
      <c r="C222" s="4"/>
    </row>
    <row r="223" spans="2:3" ht="18.75" x14ac:dyDescent="0.3">
      <c r="B223" s="6"/>
      <c r="C223" s="4"/>
    </row>
    <row r="224" spans="2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</sheetData>
  <sortState xmlns:xlrd2="http://schemas.microsoft.com/office/spreadsheetml/2017/richdata2" ref="D66:D187">
    <sortCondition ref="D66:D187"/>
  </sortState>
  <pageMargins left="0.70866141732283472" right="0.19685039370078741" top="0.78740157480314965" bottom="0.39370078740157483" header="0.31496062992125984" footer="0.11811023622047245"/>
  <pageSetup paperSize="9" scale="74" fitToHeight="0" orientation="portrait" r:id="rId1"/>
  <headerFooter>
    <oddHeader>&amp;LP100302-M-00121&amp;CQC Documentation - Field instrumentation and cabling
TABLE OF CONTENTS&amp;RP100302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0862-AA1E-45A5-B661-566682DCB4A9}">
  <sheetPr codeName="List9">
    <pageSetUpPr fitToPage="1"/>
  </sheetPr>
  <dimension ref="B1:K167"/>
  <sheetViews>
    <sheetView view="pageBreakPreview" zoomScaleNormal="100" zoomScaleSheetLayoutView="100" workbookViewId="0">
      <selection activeCell="D38" sqref="D38"/>
    </sheetView>
  </sheetViews>
  <sheetFormatPr defaultRowHeight="15" x14ac:dyDescent="0.25"/>
  <cols>
    <col min="2" max="2" width="12.85546875" customWidth="1"/>
    <col min="3" max="3" width="7.140625" bestFit="1" customWidth="1"/>
    <col min="4" max="4" width="93.5703125" customWidth="1"/>
    <col min="5" max="5" width="7.85546875" style="12" customWidth="1"/>
    <col min="6" max="6" width="63.140625" bestFit="1" customWidth="1"/>
    <col min="9" max="9" width="12.7109375" customWidth="1"/>
  </cols>
  <sheetData>
    <row r="1" spans="2:11" ht="31.5" x14ac:dyDescent="0.25">
      <c r="B1" s="9" t="s">
        <v>30</v>
      </c>
      <c r="C1" s="9" t="s">
        <v>29</v>
      </c>
      <c r="D1" s="9"/>
      <c r="E1" s="10" t="s">
        <v>28</v>
      </c>
    </row>
    <row r="2" spans="2:11" s="8" customFormat="1" ht="18.75" x14ac:dyDescent="0.3">
      <c r="B2" s="6" t="s">
        <v>23</v>
      </c>
      <c r="C2" t="s">
        <v>27</v>
      </c>
      <c r="D2" t="s">
        <v>26</v>
      </c>
      <c r="E2" s="11">
        <v>1</v>
      </c>
      <c r="F2" s="13"/>
    </row>
    <row r="3" spans="2:11" ht="18.75" x14ac:dyDescent="0.3">
      <c r="B3" s="6" t="s">
        <v>34</v>
      </c>
      <c r="C3" s="4"/>
      <c r="K3" t="str">
        <f>MID(C3,7,100)</f>
        <v/>
      </c>
    </row>
    <row r="4" spans="2:11" ht="15.75" x14ac:dyDescent="0.25">
      <c r="B4" s="7" t="s">
        <v>35</v>
      </c>
      <c r="C4" s="4"/>
    </row>
    <row r="5" spans="2:11" ht="15.75" x14ac:dyDescent="0.25">
      <c r="B5" s="7"/>
      <c r="C5" s="4" t="s">
        <v>15</v>
      </c>
      <c r="D5" t="s">
        <v>68</v>
      </c>
      <c r="E5" s="12">
        <v>1</v>
      </c>
    </row>
    <row r="6" spans="2:11" ht="15.75" x14ac:dyDescent="0.25">
      <c r="B6" s="7" t="s">
        <v>36</v>
      </c>
      <c r="C6" s="4"/>
      <c r="F6" s="14"/>
      <c r="K6" t="str">
        <f t="shared" ref="K6:K7" si="0">MID(C6,7,100)</f>
        <v/>
      </c>
    </row>
    <row r="7" spans="2:11" x14ac:dyDescent="0.25">
      <c r="C7" s="4" t="s">
        <v>15</v>
      </c>
      <c r="D7" t="s">
        <v>69</v>
      </c>
      <c r="E7" s="12">
        <v>1</v>
      </c>
      <c r="K7" t="str">
        <f t="shared" si="0"/>
        <v/>
      </c>
    </row>
    <row r="8" spans="2:11" x14ac:dyDescent="0.25">
      <c r="C8" s="4" t="s">
        <v>37</v>
      </c>
      <c r="D8" t="s">
        <v>85</v>
      </c>
      <c r="E8" s="12">
        <v>4</v>
      </c>
    </row>
    <row r="9" spans="2:11" ht="18.75" x14ac:dyDescent="0.3">
      <c r="B9" s="6"/>
      <c r="C9" s="4" t="s">
        <v>38</v>
      </c>
      <c r="D9" t="s">
        <v>73</v>
      </c>
      <c r="E9" s="12">
        <v>3</v>
      </c>
    </row>
    <row r="10" spans="2:11" ht="15.75" x14ac:dyDescent="0.25">
      <c r="B10" s="7"/>
      <c r="C10" s="4" t="s">
        <v>39</v>
      </c>
      <c r="D10" t="s">
        <v>74</v>
      </c>
      <c r="E10" s="12">
        <v>4</v>
      </c>
    </row>
    <row r="11" spans="2:11" ht="15.75" x14ac:dyDescent="0.25">
      <c r="B11" s="7"/>
      <c r="C11" s="4" t="s">
        <v>40</v>
      </c>
      <c r="D11" t="s">
        <v>75</v>
      </c>
      <c r="E11" s="12">
        <v>2</v>
      </c>
    </row>
    <row r="12" spans="2:11" ht="18.75" x14ac:dyDescent="0.3">
      <c r="B12" s="6" t="s">
        <v>24</v>
      </c>
      <c r="C12" s="4"/>
    </row>
    <row r="13" spans="2:11" ht="15.75" x14ac:dyDescent="0.25">
      <c r="B13" s="7" t="s">
        <v>50</v>
      </c>
      <c r="C13" s="4"/>
    </row>
    <row r="14" spans="2:11" x14ac:dyDescent="0.25">
      <c r="C14" s="4" t="s">
        <v>15</v>
      </c>
      <c r="D14" t="s">
        <v>86</v>
      </c>
      <c r="E14" s="12">
        <v>2</v>
      </c>
    </row>
    <row r="15" spans="2:11" ht="15.75" x14ac:dyDescent="0.25">
      <c r="B15" s="7" t="s">
        <v>55</v>
      </c>
      <c r="C15" s="4"/>
    </row>
    <row r="16" spans="2:11" x14ac:dyDescent="0.25">
      <c r="C16" s="4" t="s">
        <v>15</v>
      </c>
      <c r="D16" t="s">
        <v>87</v>
      </c>
      <c r="E16" s="12">
        <v>2</v>
      </c>
    </row>
    <row r="17" spans="3:5" x14ac:dyDescent="0.25">
      <c r="C17" s="4" t="s">
        <v>37</v>
      </c>
      <c r="D17" t="s">
        <v>88</v>
      </c>
      <c r="E17" s="12">
        <v>2</v>
      </c>
    </row>
    <row r="18" spans="3:5" x14ac:dyDescent="0.25">
      <c r="C18" s="4" t="s">
        <v>38</v>
      </c>
      <c r="D18" t="s">
        <v>89</v>
      </c>
      <c r="E18" s="12">
        <v>2</v>
      </c>
    </row>
    <row r="19" spans="3:5" x14ac:dyDescent="0.25">
      <c r="C19" s="4" t="s">
        <v>39</v>
      </c>
      <c r="D19" t="s">
        <v>90</v>
      </c>
      <c r="E19" s="12">
        <v>2</v>
      </c>
    </row>
    <row r="20" spans="3:5" x14ac:dyDescent="0.25">
      <c r="C20" s="4" t="s">
        <v>40</v>
      </c>
      <c r="D20" t="s">
        <v>91</v>
      </c>
      <c r="E20" s="12">
        <v>2</v>
      </c>
    </row>
    <row r="21" spans="3:5" x14ac:dyDescent="0.25">
      <c r="C21" s="4" t="s">
        <v>41</v>
      </c>
      <c r="D21" t="s">
        <v>92</v>
      </c>
      <c r="E21" s="12">
        <v>2</v>
      </c>
    </row>
    <row r="22" spans="3:5" x14ac:dyDescent="0.25">
      <c r="C22" s="4" t="s">
        <v>42</v>
      </c>
      <c r="D22" t="s">
        <v>93</v>
      </c>
      <c r="E22" s="12">
        <v>2</v>
      </c>
    </row>
    <row r="23" spans="3:5" x14ac:dyDescent="0.25">
      <c r="C23" s="4" t="s">
        <v>43</v>
      </c>
      <c r="D23" t="s">
        <v>94</v>
      </c>
      <c r="E23" s="12">
        <v>2</v>
      </c>
    </row>
    <row r="24" spans="3:5" x14ac:dyDescent="0.25">
      <c r="C24" s="4"/>
    </row>
    <row r="25" spans="3:5" x14ac:dyDescent="0.25">
      <c r="C25" s="4"/>
    </row>
    <row r="26" spans="3:5" x14ac:dyDescent="0.25">
      <c r="C26" s="4"/>
    </row>
    <row r="27" spans="3:5" x14ac:dyDescent="0.25">
      <c r="C27" s="4"/>
    </row>
    <row r="28" spans="3:5" x14ac:dyDescent="0.25">
      <c r="C28" s="4"/>
    </row>
    <row r="29" spans="3:5" x14ac:dyDescent="0.25">
      <c r="C29" s="4"/>
    </row>
    <row r="30" spans="3:5" x14ac:dyDescent="0.25">
      <c r="C30" s="4"/>
    </row>
    <row r="31" spans="3:5" x14ac:dyDescent="0.25">
      <c r="C31" s="4"/>
    </row>
    <row r="32" spans="3:5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2:3" x14ac:dyDescent="0.25">
      <c r="C49" s="4"/>
    </row>
    <row r="50" spans="2:3" x14ac:dyDescent="0.25">
      <c r="C50" s="4"/>
    </row>
    <row r="51" spans="2:3" x14ac:dyDescent="0.25">
      <c r="C51" s="4"/>
    </row>
    <row r="52" spans="2:3" x14ac:dyDescent="0.25">
      <c r="C52" s="4"/>
    </row>
    <row r="53" spans="2:3" x14ac:dyDescent="0.25">
      <c r="C53" s="4"/>
    </row>
    <row r="54" spans="2:3" ht="18.75" x14ac:dyDescent="0.3">
      <c r="B54" s="6"/>
      <c r="C54" s="4"/>
    </row>
    <row r="55" spans="2:3" x14ac:dyDescent="0.25">
      <c r="C55" s="4"/>
    </row>
    <row r="56" spans="2:3" x14ac:dyDescent="0.25">
      <c r="C56" s="4"/>
    </row>
    <row r="57" spans="2:3" x14ac:dyDescent="0.25">
      <c r="C57" s="4"/>
    </row>
    <row r="58" spans="2:3" x14ac:dyDescent="0.25">
      <c r="C58" s="4"/>
    </row>
    <row r="59" spans="2:3" x14ac:dyDescent="0.25">
      <c r="C59" s="4"/>
    </row>
    <row r="60" spans="2:3" x14ac:dyDescent="0.25">
      <c r="C60" s="4"/>
    </row>
    <row r="61" spans="2:3" x14ac:dyDescent="0.25">
      <c r="C61" s="4"/>
    </row>
    <row r="62" spans="2:3" x14ac:dyDescent="0.25">
      <c r="C62" s="4"/>
    </row>
    <row r="63" spans="2:3" x14ac:dyDescent="0.25">
      <c r="C63" s="4"/>
    </row>
    <row r="64" spans="2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</sheetData>
  <pageMargins left="0.70866141732283472" right="0.19685039370078741" top="0.78740157480314965" bottom="0.78740157480314965" header="0.31496062992125984" footer="0.31496062992125984"/>
  <pageSetup paperSize="9" scale="76" fitToHeight="0" orientation="portrait" r:id="rId1"/>
  <headerFooter>
    <oddHeader>&amp;LD241233301.QC2&amp;CQC_Documentation of Spare parts -  Field instrumentation and cabling
TABLE OF CONTENTS&amp;RP100302</oddHeader>
    <oddFooter>&amp;C&amp;P/&amp;N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77149B0FEBAAF419B0253BFA1BB90C3" ma:contentTypeVersion="10" ma:contentTypeDescription="Vytvoří nový dokument" ma:contentTypeScope="" ma:versionID="70bf4e01b87e5d3703466db5f9367c69">
  <xsd:schema xmlns:xsd="http://www.w3.org/2001/XMLSchema" xmlns:xs="http://www.w3.org/2001/XMLSchema" xmlns:p="http://schemas.microsoft.com/office/2006/metadata/properties" xmlns:ns3="ef990b53-204f-4d74-8c6e-f447ebd6c3de" xmlns:ns4="cb470014-36a8-4a81-a81a-437845744388" targetNamespace="http://schemas.microsoft.com/office/2006/metadata/properties" ma:root="true" ma:fieldsID="c0455cff27281fa0ac32e50948b3c055" ns3:_="" ns4:_="">
    <xsd:import namespace="ef990b53-204f-4d74-8c6e-f447ebd6c3de"/>
    <xsd:import namespace="cb470014-36a8-4a81-a81a-4378457443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90b53-204f-4d74-8c6e-f447ebd6c3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70014-36a8-4a81-a81a-43784574438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6C5C82-4789-4F0A-831A-E27EDB3FEE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990b53-204f-4d74-8c6e-f447ebd6c3de"/>
    <ds:schemaRef ds:uri="cb470014-36a8-4a81-a81a-437845744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95808AB-56DD-4D8B-910A-80828FF3D4E7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ef990b53-204f-4d74-8c6e-f447ebd6c3de"/>
    <ds:schemaRef ds:uri="http://schemas.microsoft.com/office/2006/metadata/properties"/>
    <ds:schemaRef ds:uri="http://purl.org/dc/terms/"/>
    <ds:schemaRef ds:uri="http://schemas.openxmlformats.org/package/2006/metadata/core-properties"/>
    <ds:schemaRef ds:uri="cb470014-36a8-4a81-a81a-437845744388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110B3A6-A8A2-49E7-A5F3-AA0D4DA4B7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7</vt:i4>
      </vt:variant>
      <vt:variant>
        <vt:lpstr>Pojmenované oblasti</vt:lpstr>
      </vt:variant>
      <vt:variant>
        <vt:i4>6</vt:i4>
      </vt:variant>
    </vt:vector>
  </HeadingPairs>
  <TitlesOfParts>
    <vt:vector size="13" baseType="lpstr">
      <vt:lpstr>Seznam</vt:lpstr>
      <vt:lpstr>AUTEL</vt:lpstr>
      <vt:lpstr>Help</vt:lpstr>
      <vt:lpstr>Zmeny</vt:lpstr>
      <vt:lpstr>Obsah</vt:lpstr>
      <vt:lpstr>Obsah_QC1</vt:lpstr>
      <vt:lpstr>Obsah_QC1_SP</vt:lpstr>
      <vt:lpstr>Cíl</vt:lpstr>
      <vt:lpstr>Obsah_QC1!Názvy_tisku</vt:lpstr>
      <vt:lpstr>Obsah_QC1_SP!Názvy_tisku</vt:lpstr>
      <vt:lpstr>Obsah_QC1!Oblast_tisku</vt:lpstr>
      <vt:lpstr>Obsah_QC1_SP!Oblast_tisku</vt:lpstr>
      <vt:lpstr>Zdroj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danielp</dc:creator>
  <cp:lastModifiedBy>BĚHÁLEK Kamil, Ing.</cp:lastModifiedBy>
  <cp:lastPrinted>2026-02-05T10:06:14Z</cp:lastPrinted>
  <dcterms:created xsi:type="dcterms:W3CDTF">2019-11-07T08:44:28Z</dcterms:created>
  <dcterms:modified xsi:type="dcterms:W3CDTF">2026-02-05T13:33:47Z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0x010100977149B0FEBAAF419B0253BFA1BB90C3</vt:lpwstr>
  </property>
</Properties>
</file>